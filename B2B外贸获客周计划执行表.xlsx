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tabRatio="500"/>
  </bookViews>
  <sheets>
    <sheet name="总览Dashboard" sheetId="1" r:id="rId1"/>
    <sheet name="第1周-流量测试" sheetId="2" r:id="rId2"/>
    <sheet name="第2周-转化优化" sheetId="3" r:id="rId3"/>
    <sheet name="第3周-内容营销" sheetId="4" r:id="rId4"/>
    <sheet name="第4周-主动开发" sheetId="5" r:id="rId5"/>
    <sheet name="周复盘模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<sst xmlns="http://schemas.openxmlformats.org/spreadsheetml/2006/main" count="340" uniqueCount="228">
  <si>
    <r>
      <rPr>
        <b/>
        <sz val="16"/>
        <color rgb="FF1F4E78"/>
        <rFont val="Cambria"/>
        <charset val="1"/>
      </rPr>
      <t>B2B</t>
    </r>
    <r>
      <rPr>
        <b/>
        <sz val="16"/>
        <color rgb="FF1F4E78"/>
        <rFont val="Noto Sans CJK SC"/>
        <charset val="134"/>
      </rPr>
      <t xml:space="preserve">外贸获客计划 </t>
    </r>
    <r>
      <rPr>
        <b/>
        <sz val="16"/>
        <color rgb="FF1F4E78"/>
        <rFont val="Cambria"/>
        <charset val="1"/>
      </rPr>
      <t xml:space="preserve">- </t>
    </r>
    <r>
      <rPr>
        <b/>
        <sz val="16"/>
        <color rgb="FF1F4E78"/>
        <rFont val="Noto Sans CJK SC"/>
        <charset val="134"/>
      </rPr>
      <t>执行总览</t>
    </r>
  </si>
  <si>
    <t>当前执行状态</t>
  </si>
  <si>
    <t>执行周次</t>
  </si>
  <si>
    <t>本周目标</t>
  </si>
  <si>
    <t>任务完成率</t>
  </si>
  <si>
    <t>关键成果</t>
  </si>
  <si>
    <t>待解决问题</t>
  </si>
  <si>
    <t>下周重点</t>
  </si>
  <si>
    <t>预算使用</t>
  </si>
  <si>
    <t>ROI</t>
  </si>
  <si>
    <r>
      <rPr>
        <b/>
        <sz val="11"/>
        <rFont val="Noto Sans CJK SC"/>
        <charset val="134"/>
      </rPr>
      <t>第</t>
    </r>
    <r>
      <rPr>
        <b/>
        <sz val="11"/>
        <rFont val="Cambria"/>
        <charset val="1"/>
      </rPr>
      <t>1</t>
    </r>
    <r>
      <rPr>
        <b/>
        <sz val="11"/>
        <rFont val="Noto Sans CJK SC"/>
        <charset val="134"/>
      </rPr>
      <t>周</t>
    </r>
  </si>
  <si>
    <r>
      <rPr>
        <sz val="11"/>
        <color theme="1"/>
        <rFont val="Noto Sans CJK SC"/>
        <charset val="134"/>
      </rPr>
      <t>流量测试</t>
    </r>
    <r>
      <rPr>
        <sz val="11"/>
        <color theme="1"/>
        <rFont val="Calibri"/>
        <charset val="1"/>
      </rPr>
      <t>+</t>
    </r>
    <r>
      <rPr>
        <sz val="11"/>
        <color theme="1"/>
        <rFont val="Noto Sans CJK SC"/>
        <charset val="134"/>
      </rPr>
      <t>工具部署</t>
    </r>
  </si>
  <si>
    <r>
      <rPr>
        <b/>
        <sz val="11"/>
        <rFont val="Noto Sans CJK SC"/>
        <charset val="134"/>
      </rPr>
      <t>第</t>
    </r>
    <r>
      <rPr>
        <b/>
        <sz val="11"/>
        <rFont val="Cambria"/>
        <charset val="1"/>
      </rPr>
      <t>2</t>
    </r>
    <r>
      <rPr>
        <b/>
        <sz val="11"/>
        <rFont val="Noto Sans CJK SC"/>
        <charset val="134"/>
      </rPr>
      <t>周</t>
    </r>
  </si>
  <si>
    <r>
      <rPr>
        <sz val="11"/>
        <color theme="1"/>
        <rFont val="Noto Sans CJK SC"/>
        <charset val="134"/>
      </rPr>
      <t>转化优化</t>
    </r>
    <r>
      <rPr>
        <sz val="11"/>
        <color theme="1"/>
        <rFont val="Calibri"/>
        <charset val="1"/>
      </rPr>
      <t>+LinkedIn</t>
    </r>
    <r>
      <rPr>
        <sz val="11"/>
        <color theme="1"/>
        <rFont val="Noto Sans CJK SC"/>
        <charset val="134"/>
      </rPr>
      <t>启动</t>
    </r>
  </si>
  <si>
    <r>
      <rPr>
        <b/>
        <sz val="11"/>
        <rFont val="Noto Sans CJK SC"/>
        <charset val="134"/>
      </rPr>
      <t>第</t>
    </r>
    <r>
      <rPr>
        <b/>
        <sz val="11"/>
        <rFont val="Cambria"/>
        <charset val="1"/>
      </rPr>
      <t>3</t>
    </r>
    <r>
      <rPr>
        <b/>
        <sz val="11"/>
        <rFont val="Noto Sans CJK SC"/>
        <charset val="134"/>
      </rPr>
      <t>周</t>
    </r>
  </si>
  <si>
    <r>
      <rPr>
        <sz val="11"/>
        <color theme="1"/>
        <rFont val="Noto Sans CJK SC"/>
        <charset val="134"/>
      </rPr>
      <t>内容营销</t>
    </r>
    <r>
      <rPr>
        <sz val="11"/>
        <color theme="1"/>
        <rFont val="Calibri"/>
        <charset val="1"/>
      </rPr>
      <t>+</t>
    </r>
    <r>
      <rPr>
        <sz val="11"/>
        <color theme="1"/>
        <rFont val="Noto Sans CJK SC"/>
        <charset val="134"/>
      </rPr>
      <t>邮件序列</t>
    </r>
  </si>
  <si>
    <r>
      <rPr>
        <b/>
        <sz val="11"/>
        <rFont val="Noto Sans CJK SC"/>
        <charset val="134"/>
      </rPr>
      <t>第</t>
    </r>
    <r>
      <rPr>
        <b/>
        <sz val="11"/>
        <rFont val="Cambria"/>
        <charset val="1"/>
      </rPr>
      <t>4</t>
    </r>
    <r>
      <rPr>
        <b/>
        <sz val="11"/>
        <rFont val="Noto Sans CJK SC"/>
        <charset val="134"/>
      </rPr>
      <t>周</t>
    </r>
  </si>
  <si>
    <r>
      <rPr>
        <sz val="11"/>
        <color theme="1"/>
        <rFont val="Noto Sans CJK SC"/>
        <charset val="134"/>
      </rPr>
      <t>主动开发</t>
    </r>
    <r>
      <rPr>
        <sz val="11"/>
        <color theme="1"/>
        <rFont val="Calibri"/>
        <charset val="1"/>
      </rPr>
      <t>+</t>
    </r>
    <r>
      <rPr>
        <sz val="11"/>
        <color theme="1"/>
        <rFont val="Noto Sans CJK SC"/>
        <charset val="134"/>
      </rPr>
      <t>样机策略</t>
    </r>
  </si>
  <si>
    <t>📊 累计数据看板（持续更新）</t>
  </si>
  <si>
    <r>
      <rPr>
        <b/>
        <sz val="12"/>
        <color rgb="FFFFFFFF"/>
        <rFont val="Cambria"/>
        <charset val="1"/>
      </rPr>
      <t>KPI</t>
    </r>
    <r>
      <rPr>
        <b/>
        <sz val="12"/>
        <color rgb="FFFFFFFF"/>
        <rFont val="Noto Sans CJK SC"/>
        <charset val="134"/>
      </rPr>
      <t>指标</t>
    </r>
  </si>
  <si>
    <t>目标值</t>
  </si>
  <si>
    <r>
      <rPr>
        <b/>
        <sz val="12"/>
        <color rgb="FFFFFFFF"/>
        <rFont val="Noto Sans CJK SC"/>
        <charset val="134"/>
      </rPr>
      <t>第</t>
    </r>
    <r>
      <rPr>
        <b/>
        <sz val="12"/>
        <color rgb="FFFFFFFF"/>
        <rFont val="Cambria"/>
        <charset val="1"/>
      </rPr>
      <t>1</t>
    </r>
    <r>
      <rPr>
        <b/>
        <sz val="12"/>
        <color rgb="FFFFFFFF"/>
        <rFont val="Noto Sans CJK SC"/>
        <charset val="134"/>
      </rPr>
      <t>周</t>
    </r>
  </si>
  <si>
    <r>
      <rPr>
        <b/>
        <sz val="12"/>
        <color rgb="FFFFFFFF"/>
        <rFont val="Noto Sans CJK SC"/>
        <charset val="134"/>
      </rPr>
      <t>第</t>
    </r>
    <r>
      <rPr>
        <b/>
        <sz val="12"/>
        <color rgb="FFFFFFFF"/>
        <rFont val="Cambria"/>
        <charset val="1"/>
      </rPr>
      <t>2</t>
    </r>
    <r>
      <rPr>
        <b/>
        <sz val="12"/>
        <color rgb="FFFFFFFF"/>
        <rFont val="Noto Sans CJK SC"/>
        <charset val="134"/>
      </rPr>
      <t>周</t>
    </r>
  </si>
  <si>
    <r>
      <rPr>
        <b/>
        <sz val="12"/>
        <color rgb="FFFFFFFF"/>
        <rFont val="Noto Sans CJK SC"/>
        <charset val="134"/>
      </rPr>
      <t>第</t>
    </r>
    <r>
      <rPr>
        <b/>
        <sz val="12"/>
        <color rgb="FFFFFFFF"/>
        <rFont val="Cambria"/>
        <charset val="1"/>
      </rPr>
      <t>3</t>
    </r>
    <r>
      <rPr>
        <b/>
        <sz val="12"/>
        <color rgb="FFFFFFFF"/>
        <rFont val="Noto Sans CJK SC"/>
        <charset val="134"/>
      </rPr>
      <t>周</t>
    </r>
  </si>
  <si>
    <r>
      <rPr>
        <b/>
        <sz val="12"/>
        <color rgb="FFFFFFFF"/>
        <rFont val="Noto Sans CJK SC"/>
        <charset val="134"/>
      </rPr>
      <t>第</t>
    </r>
    <r>
      <rPr>
        <b/>
        <sz val="12"/>
        <color rgb="FFFFFFFF"/>
        <rFont val="Cambria"/>
        <charset val="1"/>
      </rPr>
      <t>4</t>
    </r>
    <r>
      <rPr>
        <b/>
        <sz val="12"/>
        <color rgb="FFFFFFFF"/>
        <rFont val="Noto Sans CJK SC"/>
        <charset val="134"/>
      </rPr>
      <t>周</t>
    </r>
  </si>
  <si>
    <t>累计</t>
  </si>
  <si>
    <t>达成率</t>
  </si>
  <si>
    <t>网站访问量</t>
  </si>
  <si>
    <t>500</t>
  </si>
  <si>
    <t>询盘数量</t>
  </si>
  <si>
    <t>15</t>
  </si>
  <si>
    <r>
      <rPr>
        <b/>
        <sz val="11"/>
        <rFont val="Cambria"/>
        <charset val="1"/>
      </rPr>
      <t>A</t>
    </r>
    <r>
      <rPr>
        <b/>
        <sz val="11"/>
        <rFont val="Noto Sans CJK SC"/>
        <charset val="134"/>
      </rPr>
      <t>级询盘数</t>
    </r>
  </si>
  <si>
    <t>5</t>
  </si>
  <si>
    <r>
      <rPr>
        <b/>
        <sz val="11"/>
        <rFont val="Cambria"/>
        <charset val="1"/>
      </rPr>
      <t>Google Ads</t>
    </r>
    <r>
      <rPr>
        <b/>
        <sz val="11"/>
        <rFont val="Noto Sans CJK SC"/>
        <charset val="134"/>
      </rPr>
      <t>点击</t>
    </r>
  </si>
  <si>
    <t>200</t>
  </si>
  <si>
    <r>
      <rPr>
        <b/>
        <sz val="11"/>
        <rFont val="Cambria"/>
        <charset val="1"/>
      </rPr>
      <t>LinkedIn</t>
    </r>
    <r>
      <rPr>
        <b/>
        <sz val="11"/>
        <rFont val="Noto Sans CJK SC"/>
        <charset val="134"/>
      </rPr>
      <t>连接数</t>
    </r>
  </si>
  <si>
    <t>300</t>
  </si>
  <si>
    <t>博客文章发布</t>
  </si>
  <si>
    <t>8</t>
  </si>
  <si>
    <t>样机发出</t>
  </si>
  <si>
    <t>3</t>
  </si>
  <si>
    <r>
      <rPr>
        <b/>
        <sz val="11"/>
        <rFont val="Noto Sans CJK SC"/>
        <charset val="134"/>
      </rPr>
      <t>总投入预算</t>
    </r>
    <r>
      <rPr>
        <b/>
        <sz val="11"/>
        <rFont val="Cambria"/>
        <charset val="1"/>
      </rPr>
      <t>($)</t>
    </r>
  </si>
  <si>
    <t>2000</t>
  </si>
  <si>
    <r>
      <rPr>
        <b/>
        <sz val="14"/>
        <color rgb="FF1F4E78"/>
        <rFont val="Noto Sans CJK SC"/>
        <charset val="134"/>
      </rPr>
      <t>第</t>
    </r>
    <r>
      <rPr>
        <b/>
        <sz val="14"/>
        <color rgb="FF1F4E78"/>
        <rFont val="Cambria"/>
        <charset val="1"/>
      </rPr>
      <t>1</t>
    </r>
    <r>
      <rPr>
        <b/>
        <sz val="14"/>
        <color rgb="FF1F4E78"/>
        <rFont val="Noto Sans CJK SC"/>
        <charset val="134"/>
      </rPr>
      <t xml:space="preserve">周执行计划：流量测试 </t>
    </r>
    <r>
      <rPr>
        <b/>
        <sz val="14"/>
        <color rgb="FF1F4E78"/>
        <rFont val="Cambria"/>
        <charset val="1"/>
      </rPr>
      <t xml:space="preserve">+ </t>
    </r>
    <r>
      <rPr>
        <b/>
        <sz val="14"/>
        <color rgb="FF1F4E78"/>
        <rFont val="Noto Sans CJK SC"/>
        <charset val="134"/>
      </rPr>
      <t>基础工具部署</t>
    </r>
  </si>
  <si>
    <t>执行日期：</t>
  </si>
  <si>
    <t>📌 本周核心目标</t>
  </si>
  <si>
    <r>
      <rPr>
        <sz val="11"/>
        <color theme="1"/>
        <rFont val="Noto Sans CJK SC"/>
        <charset val="134"/>
      </rPr>
      <t>✅ 部署</t>
    </r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GSC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Clarity</t>
    </r>
    <r>
      <rPr>
        <sz val="11"/>
        <color theme="1"/>
        <rFont val="Noto Sans CJK SC"/>
        <charset val="134"/>
      </rPr>
      <t>追踪工具，建立数据基础设施</t>
    </r>
  </si>
  <si>
    <r>
      <rPr>
        <sz val="11"/>
        <color theme="1"/>
        <rFont val="Noto Sans CJK SC"/>
        <charset val="134"/>
      </rPr>
      <t>✅ 启动</t>
    </r>
    <r>
      <rPr>
        <sz val="11"/>
        <color theme="1"/>
        <rFont val="Calibri"/>
        <charset val="1"/>
      </rPr>
      <t>Google Ads</t>
    </r>
    <r>
      <rPr>
        <sz val="11"/>
        <color theme="1"/>
        <rFont val="Noto Sans CJK SC"/>
        <charset val="134"/>
      </rPr>
      <t>测试广告</t>
    </r>
    <r>
      <rPr>
        <sz val="11"/>
        <color theme="1"/>
        <rFont val="Calibri"/>
        <charset val="1"/>
      </rPr>
      <t>($300</t>
    </r>
    <r>
      <rPr>
        <sz val="11"/>
        <color theme="1"/>
        <rFont val="Noto Sans CJK SC"/>
        <charset val="134"/>
      </rPr>
      <t>预算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，获得</t>
    </r>
    <r>
      <rPr>
        <sz val="11"/>
        <color theme="1"/>
        <rFont val="Calibri"/>
        <charset val="1"/>
      </rPr>
      <t>100-200</t>
    </r>
    <r>
      <rPr>
        <sz val="11"/>
        <color theme="1"/>
        <rFont val="Noto Sans CJK SC"/>
        <charset val="134"/>
      </rPr>
      <t>次点击</t>
    </r>
  </si>
  <si>
    <r>
      <rPr>
        <sz val="11"/>
        <color theme="1"/>
        <rFont val="Noto Sans CJK SC"/>
        <charset val="134"/>
      </rPr>
      <t>✅ 优化网站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个关键转化点（浮动按钮、表单简化、价格锚点）</t>
    </r>
  </si>
  <si>
    <r>
      <rPr>
        <sz val="11"/>
        <color theme="1"/>
        <rFont val="Calibri"/>
        <charset val="1"/>
      </rPr>
      <t>✅ LinkedIn</t>
    </r>
    <r>
      <rPr>
        <sz val="11"/>
        <color theme="1"/>
        <rFont val="Noto Sans CJK SC"/>
        <charset val="134"/>
      </rPr>
      <t>添加</t>
    </r>
    <r>
      <rPr>
        <sz val="11"/>
        <color theme="1"/>
        <rFont val="Calibri"/>
        <charset val="1"/>
      </rPr>
      <t>50</t>
    </r>
    <r>
      <rPr>
        <sz val="11"/>
        <color theme="1"/>
        <rFont val="Noto Sans CJK SC"/>
        <charset val="134"/>
      </rPr>
      <t>个目标客户，开始建立关系网络</t>
    </r>
  </si>
  <si>
    <t>📋 每日任务清单</t>
  </si>
  <si>
    <t>日期</t>
  </si>
  <si>
    <t>任务描述</t>
  </si>
  <si>
    <t>负责人</t>
  </si>
  <si>
    <t>完成状态</t>
  </si>
  <si>
    <t>实际产出</t>
  </si>
  <si>
    <t>备注</t>
  </si>
  <si>
    <t>周一</t>
  </si>
  <si>
    <r>
      <rPr>
        <sz val="11"/>
        <color theme="1"/>
        <rFont val="Noto Sans CJK SC"/>
        <charset val="134"/>
      </rPr>
      <t>安装</t>
    </r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GSC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 xml:space="preserve">Microsoft Clarity
</t>
    </r>
    <r>
      <rPr>
        <sz val="11"/>
        <color theme="1"/>
        <rFont val="Noto Sans CJK SC"/>
        <charset val="134"/>
      </rPr>
      <t>配置转化事件（表单提交、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点击）</t>
    </r>
  </si>
  <si>
    <r>
      <rPr>
        <sz val="11"/>
        <color theme="1"/>
        <rFont val="Noto Sans CJK SC"/>
        <charset val="134"/>
      </rPr>
      <t>注册</t>
    </r>
    <r>
      <rPr>
        <sz val="11"/>
        <color theme="1"/>
        <rFont val="Calibri"/>
        <charset val="1"/>
      </rPr>
      <t>Google Ads</t>
    </r>
    <r>
      <rPr>
        <sz val="11"/>
        <color theme="1"/>
        <rFont val="Noto Sans CJK SC"/>
        <charset val="134"/>
      </rPr>
      <t>账户，完成账户设置</t>
    </r>
  </si>
  <si>
    <t>周二</t>
  </si>
  <si>
    <r>
      <rPr>
        <sz val="11"/>
        <color theme="1"/>
        <rFont val="Noto Sans CJK SC"/>
        <charset val="134"/>
      </rPr>
      <t>创建第一个广告系列（搜索广告）
关键词：</t>
    </r>
    <r>
      <rPr>
        <sz val="11"/>
        <color theme="1"/>
        <rFont val="Calibri"/>
        <charset val="1"/>
      </rPr>
      <t>laptop manufacturer OEM, business laptop wholesale</t>
    </r>
  </si>
  <si>
    <r>
      <rPr>
        <sz val="11"/>
        <color theme="1"/>
        <rFont val="Noto Sans CJK SC"/>
        <charset val="134"/>
      </rPr>
      <t>设置广告预算</t>
    </r>
    <r>
      <rPr>
        <sz val="11"/>
        <color theme="1"/>
        <rFont val="Calibri"/>
        <charset val="1"/>
      </rPr>
      <t>$15/</t>
    </r>
    <r>
      <rPr>
        <sz val="11"/>
        <color theme="1"/>
        <rFont val="Noto Sans CJK SC"/>
        <charset val="134"/>
      </rPr>
      <t>天，投放</t>
    </r>
    <r>
      <rPr>
        <sz val="11"/>
        <color theme="1"/>
        <rFont val="Calibri"/>
        <charset val="1"/>
      </rPr>
      <t>7</t>
    </r>
    <r>
      <rPr>
        <sz val="11"/>
        <color theme="1"/>
        <rFont val="Noto Sans CJK SC"/>
        <charset val="134"/>
      </rPr>
      <t>天</t>
    </r>
  </si>
  <si>
    <t>周三</t>
  </si>
  <si>
    <r>
      <rPr>
        <sz val="11"/>
        <color theme="1"/>
        <rFont val="Noto Sans CJK SC"/>
        <charset val="134"/>
      </rPr>
      <t>网站修改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：添加右下角浮动询盘按钮</t>
    </r>
  </si>
  <si>
    <r>
      <rPr>
        <sz val="11"/>
        <color theme="1"/>
        <rFont val="Noto Sans CJK SC"/>
        <charset val="134"/>
      </rPr>
      <t>网站修改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：简化表单字段至</t>
    </r>
    <r>
      <rPr>
        <sz val="11"/>
        <color theme="1"/>
        <rFont val="Calibri"/>
        <charset val="1"/>
      </rPr>
      <t>5</t>
    </r>
    <r>
      <rPr>
        <sz val="11"/>
        <color theme="1"/>
        <rFont val="Noto Sans CJK SC"/>
        <charset val="134"/>
      </rPr>
      <t>个</t>
    </r>
  </si>
  <si>
    <t>周四</t>
  </si>
  <si>
    <r>
      <rPr>
        <sz val="11"/>
        <color theme="1"/>
        <rFont val="Noto Sans CJK SC"/>
        <charset val="134"/>
      </rPr>
      <t>网站修改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：产品页添加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和价格区间说明</t>
    </r>
  </si>
  <si>
    <r>
      <rPr>
        <sz val="11"/>
        <color theme="1"/>
        <rFont val="Noto Sans CJK SC"/>
        <charset val="134"/>
      </rPr>
      <t>创建</t>
    </r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公司主页（如无）
完善创始人个人资料</t>
    </r>
  </si>
  <si>
    <t>周五</t>
  </si>
  <si>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添加</t>
    </r>
    <r>
      <rPr>
        <sz val="11"/>
        <color theme="1"/>
        <rFont val="Calibri"/>
        <charset val="1"/>
      </rPr>
      <t>50</t>
    </r>
    <r>
      <rPr>
        <sz val="11"/>
        <color theme="1"/>
        <rFont val="Noto Sans CJK SC"/>
        <charset val="134"/>
      </rPr>
      <t>个目标客户
（</t>
    </r>
    <r>
      <rPr>
        <sz val="11"/>
        <color theme="1"/>
        <rFont val="Calibri"/>
        <charset val="1"/>
      </rPr>
      <t>Title: Procurement Manager, IT Director</t>
    </r>
    <r>
      <rPr>
        <sz val="11"/>
        <color theme="1"/>
        <rFont val="Noto Sans CJK SC"/>
        <charset val="134"/>
      </rPr>
      <t>）</t>
    </r>
  </si>
  <si>
    <t>整理本周数据，准备周复盘</t>
  </si>
  <si>
    <r>
      <rPr>
        <b/>
        <sz val="12"/>
        <rFont val="Noto Sans CJK SC"/>
        <charset val="134"/>
      </rPr>
      <t>📊 本周</t>
    </r>
    <r>
      <rPr>
        <b/>
        <sz val="12"/>
        <rFont val="Cambria"/>
        <charset val="1"/>
      </rPr>
      <t>KPI</t>
    </r>
    <r>
      <rPr>
        <b/>
        <sz val="12"/>
        <rFont val="Noto Sans CJK SC"/>
        <charset val="134"/>
      </rPr>
      <t>数据记录</t>
    </r>
  </si>
  <si>
    <t>实际值</t>
  </si>
  <si>
    <t>完成率</t>
  </si>
  <si>
    <t>分析</t>
  </si>
  <si>
    <t>改进措施</t>
  </si>
  <si>
    <r>
      <rPr>
        <b/>
        <sz val="11"/>
        <rFont val="Cambria"/>
        <charset val="1"/>
      </rPr>
      <t>Google Ads</t>
    </r>
    <r>
      <rPr>
        <b/>
        <sz val="11"/>
        <rFont val="Noto Sans CJK SC"/>
        <charset val="134"/>
      </rPr>
      <t>点击数</t>
    </r>
  </si>
  <si>
    <t>100-200</t>
  </si>
  <si>
    <t>Google Ads CTR</t>
  </si>
  <si>
    <t>&gt;2%</t>
  </si>
  <si>
    <t>150+</t>
  </si>
  <si>
    <t>平均停留时间</t>
  </si>
  <si>
    <r>
      <rPr>
        <sz val="11"/>
        <color theme="1"/>
        <rFont val="Calibri"/>
        <charset val="1"/>
      </rPr>
      <t>&gt;1</t>
    </r>
    <r>
      <rPr>
        <sz val="11"/>
        <color theme="1"/>
        <rFont val="Noto Sans CJK SC"/>
        <charset val="134"/>
      </rPr>
      <t>分钟</t>
    </r>
  </si>
  <si>
    <t>跳出率</t>
  </si>
  <si>
    <t>&lt;70%</t>
  </si>
  <si>
    <r>
      <rPr>
        <sz val="11"/>
        <color theme="1"/>
        <rFont val="Calibri"/>
        <charset val="1"/>
      </rPr>
      <t>1-3</t>
    </r>
    <r>
      <rPr>
        <sz val="11"/>
        <color theme="1"/>
        <rFont val="Noto Sans CJK SC"/>
        <charset val="134"/>
      </rPr>
      <t>个</t>
    </r>
  </si>
  <si>
    <r>
      <rPr>
        <b/>
        <sz val="11"/>
        <rFont val="Cambria"/>
        <charset val="1"/>
      </rPr>
      <t>LinkedIn</t>
    </r>
    <r>
      <rPr>
        <b/>
        <sz val="11"/>
        <rFont val="Noto Sans CJK SC"/>
        <charset val="134"/>
      </rPr>
      <t>新连接</t>
    </r>
  </si>
  <si>
    <t>50+</t>
  </si>
  <si>
    <t>工具部署完成率</t>
  </si>
  <si>
    <t>100%</t>
  </si>
  <si>
    <r>
      <rPr>
        <b/>
        <sz val="11"/>
        <rFont val="Noto Sans CJK SC"/>
        <charset val="134"/>
      </rPr>
      <t>本周实际花费</t>
    </r>
    <r>
      <rPr>
        <b/>
        <sz val="11"/>
        <rFont val="Cambria"/>
        <charset val="1"/>
      </rPr>
      <t>($)</t>
    </r>
  </si>
  <si>
    <t>&lt;350</t>
  </si>
  <si>
    <t>💡 本周关键洞察</t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</si>
  <si>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哪个关键词的</t>
    </r>
    <r>
      <rPr>
        <sz val="11"/>
        <color theme="1"/>
        <rFont val="Calibri"/>
        <charset val="1"/>
      </rPr>
      <t>CTR</t>
    </r>
    <r>
      <rPr>
        <sz val="11"/>
        <color theme="1"/>
        <rFont val="Noto Sans CJK SC"/>
        <charset val="134"/>
      </rPr>
      <t>最高？（说明什么需求最旺盛）</t>
    </r>
  </si>
  <si>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>网站哪个页面跳出率最高？（说明内容需要优化）</t>
    </r>
  </si>
  <si>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CJK SC"/>
        <charset val="134"/>
      </rPr>
      <t>访客主要来自哪些国家？（验证目标市场是否准确）</t>
    </r>
  </si>
  <si>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Noto Sans CJK SC"/>
        <charset val="134"/>
      </rPr>
      <t xml:space="preserve">有询盘吗？询盘质量如何？（个人消费者 </t>
    </r>
    <r>
      <rPr>
        <sz val="11"/>
        <color theme="1"/>
        <rFont val="Calibri"/>
        <charset val="1"/>
      </rPr>
      <t xml:space="preserve">vs </t>
    </r>
    <r>
      <rPr>
        <sz val="11"/>
        <color theme="1"/>
        <rFont val="Noto Sans CJK SC"/>
        <charset val="134"/>
      </rPr>
      <t>真正买家）</t>
    </r>
  </si>
  <si>
    <r>
      <rPr>
        <sz val="11"/>
        <color theme="1"/>
        <rFont val="Calibri"/>
        <charset val="1"/>
      </rPr>
      <t xml:space="preserve">5. </t>
    </r>
    <r>
      <rPr>
        <sz val="11"/>
        <color theme="1"/>
        <rFont val="Noto Sans CJK SC"/>
        <charset val="134"/>
      </rPr>
      <t>工具部署遇到什么困难？（技术问题还是资源问题）</t>
    </r>
  </si>
  <si>
    <r>
      <rPr>
        <b/>
        <sz val="14"/>
        <color rgb="FF1F4E78"/>
        <rFont val="Noto Sans CJK SC"/>
        <charset val="134"/>
      </rPr>
      <t>第</t>
    </r>
    <r>
      <rPr>
        <b/>
        <sz val="14"/>
        <color rgb="FF1F4E78"/>
        <rFont val="Cambria"/>
        <charset val="1"/>
      </rPr>
      <t>2</t>
    </r>
    <r>
      <rPr>
        <b/>
        <sz val="14"/>
        <color rgb="FF1F4E78"/>
        <rFont val="Noto Sans CJK SC"/>
        <charset val="134"/>
      </rPr>
      <t xml:space="preserve">周执行计划：转化优化 </t>
    </r>
    <r>
      <rPr>
        <b/>
        <sz val="14"/>
        <color rgb="FF1F4E78"/>
        <rFont val="Cambria"/>
        <charset val="1"/>
      </rPr>
      <t>+ LinkedIn</t>
    </r>
    <r>
      <rPr>
        <b/>
        <sz val="14"/>
        <color rgb="FF1F4E78"/>
        <rFont val="Noto Sans CJK SC"/>
        <charset val="134"/>
      </rPr>
      <t>关系建立</t>
    </r>
  </si>
  <si>
    <r>
      <rPr>
        <b/>
        <sz val="12"/>
        <rFont val="Noto Sans CJK SC"/>
        <charset val="134"/>
      </rPr>
      <t>📌 本周核心目标（基于第</t>
    </r>
    <r>
      <rPr>
        <b/>
        <sz val="12"/>
        <rFont val="Cambria"/>
        <charset val="1"/>
      </rPr>
      <t>1</t>
    </r>
    <r>
      <rPr>
        <b/>
        <sz val="12"/>
        <rFont val="Noto Sans CJK SC"/>
        <charset val="134"/>
      </rPr>
      <t>周数据调整）</t>
    </r>
  </si>
  <si>
    <r>
      <rPr>
        <sz val="11"/>
        <color theme="1"/>
        <rFont val="Noto Sans CJK SC"/>
        <charset val="134"/>
      </rPr>
      <t>✅ 根据第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周数据优化</t>
    </r>
    <r>
      <rPr>
        <sz val="11"/>
        <color theme="1"/>
        <rFont val="Calibri"/>
        <charset val="1"/>
      </rPr>
      <t>Google Ads</t>
    </r>
    <r>
      <rPr>
        <sz val="11"/>
        <color theme="1"/>
        <rFont val="Noto Sans CJK SC"/>
        <charset val="134"/>
      </rPr>
      <t>（调整出价、添加否定词）</t>
    </r>
  </si>
  <si>
    <r>
      <rPr>
        <sz val="11"/>
        <color theme="1"/>
        <rFont val="Noto Sans CJK SC"/>
        <charset val="134"/>
      </rPr>
      <t>✅ 完成</t>
    </r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项网站转化优化（基于热力图和跳出率数据）</t>
    </r>
  </si>
  <si>
    <r>
      <rPr>
        <sz val="11"/>
        <color theme="1"/>
        <rFont val="Calibri"/>
        <charset val="1"/>
      </rPr>
      <t>✅ LinkedIn</t>
    </r>
    <r>
      <rPr>
        <sz val="11"/>
        <color theme="1"/>
        <rFont val="Noto Sans CJK SC"/>
        <charset val="134"/>
      </rPr>
      <t>建立</t>
    </r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个连接，开始主动互动（点赞、评论）</t>
    </r>
  </si>
  <si>
    <r>
      <rPr>
        <sz val="11"/>
        <color theme="1"/>
        <rFont val="Noto Sans CJK SC"/>
        <charset val="134"/>
      </rPr>
      <t>✅ 撰写并发布第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篇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博客文章</t>
    </r>
  </si>
  <si>
    <r>
      <rPr>
        <sz val="11"/>
        <color theme="1"/>
        <rFont val="Noto Sans CJK SC"/>
        <charset val="134"/>
      </rPr>
      <t>分析第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周</t>
    </r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数据
找出跳出率最高的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个页面</t>
    </r>
  </si>
  <si>
    <r>
      <rPr>
        <sz val="11"/>
        <color theme="1"/>
        <rFont val="Noto Sans CJK SC"/>
        <charset val="134"/>
      </rPr>
      <t>分析</t>
    </r>
    <r>
      <rPr>
        <sz val="11"/>
        <color theme="1"/>
        <rFont val="Calibri"/>
        <charset val="1"/>
      </rPr>
      <t>Google Ads</t>
    </r>
    <r>
      <rPr>
        <sz val="11"/>
        <color theme="1"/>
        <rFont val="Noto Sans CJK SC"/>
        <charset val="134"/>
      </rPr>
      <t>数据
识别高</t>
    </r>
    <r>
      <rPr>
        <sz val="11"/>
        <color theme="1"/>
        <rFont val="Calibri"/>
        <charset val="1"/>
      </rPr>
      <t>CTR</t>
    </r>
    <r>
      <rPr>
        <sz val="11"/>
        <color theme="1"/>
        <rFont val="Noto Sans CJK SC"/>
        <charset val="134"/>
      </rPr>
      <t>词和低效词</t>
    </r>
  </si>
  <si>
    <r>
      <rPr>
        <sz val="11"/>
        <color theme="1"/>
        <rFont val="Calibri"/>
        <charset val="1"/>
      </rPr>
      <t>Google Ads</t>
    </r>
    <r>
      <rPr>
        <sz val="11"/>
        <color theme="1"/>
        <rFont val="Noto Sans CJK SC"/>
        <charset val="134"/>
      </rPr>
      <t>优化：添加</t>
    </r>
    <r>
      <rPr>
        <sz val="11"/>
        <color theme="1"/>
        <rFont val="Calibri"/>
        <charset val="1"/>
      </rPr>
      <t>3-5</t>
    </r>
    <r>
      <rPr>
        <sz val="11"/>
        <color theme="1"/>
        <rFont val="Noto Sans CJK SC"/>
        <charset val="134"/>
      </rPr>
      <t>个新关键词
添加否定关键词列表</t>
    </r>
  </si>
  <si>
    <r>
      <rPr>
        <sz val="11"/>
        <color theme="1"/>
        <rFont val="Noto Sans CJK SC"/>
        <charset val="134"/>
      </rPr>
      <t>查看</t>
    </r>
    <r>
      <rPr>
        <sz val="11"/>
        <color theme="1"/>
        <rFont val="Calibri"/>
        <charset val="1"/>
      </rPr>
      <t>Clarity</t>
    </r>
    <r>
      <rPr>
        <sz val="11"/>
        <color theme="1"/>
        <rFont val="Noto Sans CJK SC"/>
        <charset val="134"/>
      </rPr>
      <t>热力图
找出用户点击集中区域</t>
    </r>
  </si>
  <si>
    <r>
      <rPr>
        <sz val="11"/>
        <color theme="1"/>
        <rFont val="Noto Sans CJK SC"/>
        <charset val="134"/>
      </rPr>
      <t>网站优化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：修复跳出率最高的页面
（可能是加载慢、内容不清晰）</t>
    </r>
  </si>
  <si>
    <r>
      <rPr>
        <sz val="11"/>
        <color theme="1"/>
        <rFont val="Noto Sans CJK SC"/>
        <charset val="134"/>
      </rPr>
      <t>网站优化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：在用户点击多的位置增加</t>
    </r>
    <r>
      <rPr>
        <sz val="11"/>
        <color theme="1"/>
        <rFont val="Calibri"/>
        <charset val="1"/>
      </rPr>
      <t>CTA</t>
    </r>
  </si>
  <si>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每天添加</t>
    </r>
    <r>
      <rPr>
        <sz val="11"/>
        <color theme="1"/>
        <rFont val="Calibri"/>
        <charset val="1"/>
      </rPr>
      <t>20</t>
    </r>
    <r>
      <rPr>
        <sz val="11"/>
        <color theme="1"/>
        <rFont val="Noto Sans CJK SC"/>
        <charset val="134"/>
      </rPr>
      <t>个新连接
发送个性化邀请消息</t>
    </r>
  </si>
  <si>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点赞</t>
    </r>
    <r>
      <rPr>
        <sz val="11"/>
        <color theme="1"/>
        <rFont val="Calibri"/>
        <charset val="1"/>
      </rPr>
      <t>/</t>
    </r>
    <r>
      <rPr>
        <sz val="11"/>
        <color theme="1"/>
        <rFont val="Noto Sans CJK SC"/>
        <charset val="134"/>
      </rPr>
      <t>评论</t>
    </r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>条相关内容</t>
    </r>
  </si>
  <si>
    <r>
      <rPr>
        <sz val="11"/>
        <color theme="1"/>
        <rFont val="Noto Sans CJK SC"/>
        <charset val="134"/>
      </rPr>
      <t>撰写第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篇博客
主题：</t>
    </r>
    <r>
      <rPr>
        <sz val="11"/>
        <color theme="1"/>
        <rFont val="Calibri"/>
        <charset val="1"/>
      </rPr>
      <t>How to Choose Reliable Laptop OEM</t>
    </r>
  </si>
  <si>
    <r>
      <rPr>
        <sz val="11"/>
        <color theme="1"/>
        <rFont val="Noto Sans CJK SC"/>
        <charset val="134"/>
      </rPr>
      <t>周复盘：对比第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周和第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周数据</t>
    </r>
  </si>
  <si>
    <t>200+</t>
  </si>
  <si>
    <t>&gt;3%</t>
  </si>
  <si>
    <t>250+</t>
  </si>
  <si>
    <r>
      <rPr>
        <sz val="11"/>
        <color theme="1"/>
        <rFont val="Calibri"/>
        <charset val="1"/>
      </rPr>
      <t>3-5</t>
    </r>
    <r>
      <rPr>
        <sz val="11"/>
        <color theme="1"/>
        <rFont val="Noto Sans CJK SC"/>
        <charset val="134"/>
      </rPr>
      <t>个</t>
    </r>
  </si>
  <si>
    <r>
      <rPr>
        <sz val="11"/>
        <color theme="1"/>
        <rFont val="Calibri"/>
        <charset val="1"/>
      </rPr>
      <t>1-2</t>
    </r>
    <r>
      <rPr>
        <sz val="11"/>
        <color theme="1"/>
        <rFont val="Noto Sans CJK SC"/>
        <charset val="134"/>
      </rPr>
      <t>个</t>
    </r>
  </si>
  <si>
    <t>100+</t>
  </si>
  <si>
    <t>博客发布</t>
  </si>
  <si>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篇</t>
    </r>
  </si>
  <si>
    <t>网站跳出率变化</t>
  </si>
  <si>
    <r>
      <rPr>
        <sz val="11"/>
        <color theme="1"/>
        <rFont val="Noto Sans CJK SC"/>
        <charset val="134"/>
      </rPr>
      <t>下降</t>
    </r>
    <r>
      <rPr>
        <sz val="11"/>
        <color theme="1"/>
        <rFont val="Calibri"/>
        <charset val="1"/>
      </rPr>
      <t>5%+</t>
    </r>
  </si>
  <si>
    <r>
      <rPr>
        <b/>
        <sz val="11"/>
        <rFont val="Noto Sans CJK SC"/>
        <charset val="134"/>
      </rPr>
      <t>本周花费</t>
    </r>
    <r>
      <rPr>
        <b/>
        <sz val="11"/>
        <rFont val="Cambria"/>
        <charset val="1"/>
      </rPr>
      <t>($)</t>
    </r>
  </si>
  <si>
    <t>&lt;400</t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</si>
  <si>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转化优化后，询盘数量有提升吗？（衡量优化效果）</t>
    </r>
  </si>
  <si>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>哪个优化动作效果最明显？（复制到其他页面）</t>
    </r>
  </si>
  <si>
    <r>
      <rPr>
        <sz val="11"/>
        <color theme="1"/>
        <rFont val="Calibri"/>
        <charset val="1"/>
      </rPr>
      <t>3. LinkedIn</t>
    </r>
    <r>
      <rPr>
        <sz val="11"/>
        <color theme="1"/>
        <rFont val="Noto Sans CJK SC"/>
        <charset val="134"/>
      </rPr>
      <t>哪类人回复率更高？（调整后续开发方向）</t>
    </r>
  </si>
  <si>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Noto Sans CJK SC"/>
        <charset val="134"/>
      </rPr>
      <t>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篇博客的选题是否准确？（看有无自然流量）</t>
    </r>
  </si>
  <si>
    <r>
      <rPr>
        <sz val="11"/>
        <color theme="1"/>
        <rFont val="Calibri"/>
        <charset val="1"/>
      </rPr>
      <t>5. Google Ads</t>
    </r>
    <r>
      <rPr>
        <sz val="11"/>
        <color theme="1"/>
        <rFont val="Noto Sans CJK SC"/>
        <charset val="134"/>
      </rPr>
      <t>成本是否可控？（</t>
    </r>
    <r>
      <rPr>
        <sz val="11"/>
        <color theme="1"/>
        <rFont val="Calibri"/>
        <charset val="1"/>
      </rPr>
      <t>CPC</t>
    </r>
    <r>
      <rPr>
        <sz val="11"/>
        <color theme="1"/>
        <rFont val="Noto Sans CJK SC"/>
        <charset val="134"/>
      </rPr>
      <t>是否在上涨）</t>
    </r>
  </si>
  <si>
    <r>
      <rPr>
        <b/>
        <sz val="14"/>
        <color rgb="FF1F4E78"/>
        <rFont val="Noto Sans CJK SC"/>
        <charset val="134"/>
      </rPr>
      <t>第</t>
    </r>
    <r>
      <rPr>
        <b/>
        <sz val="14"/>
        <color rgb="FF1F4E78"/>
        <rFont val="Cambria"/>
        <charset val="1"/>
      </rPr>
      <t>3</t>
    </r>
    <r>
      <rPr>
        <b/>
        <sz val="14"/>
        <color rgb="FF1F4E78"/>
        <rFont val="Noto Sans CJK SC"/>
        <charset val="134"/>
      </rPr>
      <t xml:space="preserve">周执行计划：内容营销 </t>
    </r>
    <r>
      <rPr>
        <b/>
        <sz val="14"/>
        <color rgb="FF1F4E78"/>
        <rFont val="Cambria"/>
        <charset val="1"/>
      </rPr>
      <t xml:space="preserve">+ </t>
    </r>
    <r>
      <rPr>
        <b/>
        <sz val="14"/>
        <color rgb="FF1F4E78"/>
        <rFont val="Noto Sans CJK SC"/>
        <charset val="134"/>
      </rPr>
      <t>邮件开发启动</t>
    </r>
  </si>
  <si>
    <r>
      <rPr>
        <sz val="11"/>
        <color theme="1"/>
        <rFont val="Noto Sans CJK SC"/>
        <charset val="134"/>
      </rPr>
      <t>✅ 发布</t>
    </r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篇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博客，覆盖不同买家搜索意图</t>
    </r>
  </si>
  <si>
    <r>
      <rPr>
        <sz val="11"/>
        <color theme="1"/>
        <rFont val="Noto Sans CJK SC"/>
        <charset val="134"/>
      </rPr>
      <t>✅ 创建行业解决方案落地页（至少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个行业）</t>
    </r>
  </si>
  <si>
    <r>
      <rPr>
        <sz val="11"/>
        <color theme="1"/>
        <rFont val="Noto Sans CJK SC"/>
        <charset val="134"/>
      </rPr>
      <t>✅ 设计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封邮件序列模板，准备主动开发</t>
    </r>
  </si>
  <si>
    <r>
      <rPr>
        <sz val="11"/>
        <color theme="1"/>
        <rFont val="Calibri"/>
        <charset val="1"/>
      </rPr>
      <t>✅ LinkedIn</t>
    </r>
    <r>
      <rPr>
        <sz val="11"/>
        <color theme="1"/>
        <rFont val="Noto Sans CJK SC"/>
        <charset val="134"/>
      </rPr>
      <t>建立</t>
    </r>
    <r>
      <rPr>
        <sz val="11"/>
        <color theme="1"/>
        <rFont val="Calibri"/>
        <charset val="1"/>
      </rPr>
      <t>150</t>
    </r>
    <r>
      <rPr>
        <sz val="11"/>
        <color theme="1"/>
        <rFont val="Noto Sans CJK SC"/>
        <charset val="134"/>
      </rPr>
      <t>个连接，每天持续互动</t>
    </r>
  </si>
  <si>
    <r>
      <rPr>
        <sz val="11"/>
        <color theme="1"/>
        <rFont val="Noto Sans CJK SC"/>
        <charset val="134"/>
      </rPr>
      <t>博客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：</t>
    </r>
    <r>
      <rPr>
        <sz val="11"/>
        <color theme="1"/>
        <rFont val="Calibri"/>
        <charset val="1"/>
      </rPr>
      <t>Business Laptop vs Consumer Laptop
1500</t>
    </r>
    <r>
      <rPr>
        <sz val="11"/>
        <color theme="1"/>
        <rFont val="Noto Sans CJK SC"/>
        <charset val="134"/>
      </rPr>
      <t>字，配图</t>
    </r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张</t>
    </r>
  </si>
  <si>
    <r>
      <rPr>
        <sz val="11"/>
        <color theme="1"/>
        <rFont val="Noto Sans CJK SC"/>
        <charset val="134"/>
      </rPr>
      <t>博客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：</t>
    </r>
    <r>
      <rPr>
        <sz val="11"/>
        <color theme="1"/>
        <rFont val="Calibri"/>
        <charset val="1"/>
      </rPr>
      <t>Complete Guide to Laptop Import from China
2000</t>
    </r>
    <r>
      <rPr>
        <sz val="11"/>
        <color theme="1"/>
        <rFont val="Noto Sans CJK SC"/>
        <charset val="134"/>
      </rPr>
      <t>字，包含清关流程</t>
    </r>
  </si>
  <si>
    <r>
      <rPr>
        <sz val="11"/>
        <color theme="1"/>
        <rFont val="Noto Sans CJK SC"/>
        <charset val="134"/>
      </rPr>
      <t>创建</t>
    </r>
    <r>
      <rPr>
        <sz val="11"/>
        <color theme="1"/>
        <rFont val="Calibri"/>
        <charset val="1"/>
      </rPr>
      <t>Education Solution</t>
    </r>
    <r>
      <rPr>
        <sz val="11"/>
        <color theme="1"/>
        <rFont val="Noto Sans CJK SC"/>
        <charset val="134"/>
      </rPr>
      <t>落地页
包含场景、方案、案例</t>
    </r>
  </si>
  <si>
    <r>
      <rPr>
        <sz val="11"/>
        <color theme="1"/>
        <rFont val="Noto Sans CJK SC"/>
        <charset val="134"/>
      </rPr>
      <t>设计邮件序列模板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：首次接触邮件</t>
    </r>
  </si>
  <si>
    <r>
      <rPr>
        <sz val="11"/>
        <color theme="1"/>
        <rFont val="Noto Sans CJK SC"/>
        <charset val="134"/>
      </rPr>
      <t>设计邮件序列模板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：价值提供邮件</t>
    </r>
  </si>
  <si>
    <r>
      <rPr>
        <sz val="11"/>
        <color theme="1"/>
        <rFont val="Noto Sans CJK SC"/>
        <charset val="134"/>
      </rPr>
      <t>设计邮件序列模板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：样机邀约邮件</t>
    </r>
  </si>
  <si>
    <r>
      <rPr>
        <sz val="11"/>
        <color theme="1"/>
        <rFont val="Noto Sans CJK SC"/>
        <charset val="134"/>
      </rPr>
      <t>使用</t>
    </r>
    <r>
      <rPr>
        <sz val="11"/>
        <color theme="1"/>
        <rFont val="Calibri"/>
        <charset val="1"/>
      </rPr>
      <t>Apollo.io</t>
    </r>
    <r>
      <rPr>
        <sz val="11"/>
        <color theme="1"/>
        <rFont val="Noto Sans CJK SC"/>
        <charset val="134"/>
      </rPr>
      <t>导出</t>
    </r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个目标客户邮箱
（教育行业采购经理）</t>
    </r>
  </si>
  <si>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持续添加</t>
    </r>
    <r>
      <rPr>
        <sz val="11"/>
        <color theme="1"/>
        <rFont val="Calibri"/>
        <charset val="1"/>
      </rPr>
      <t>30</t>
    </r>
    <r>
      <rPr>
        <sz val="11"/>
        <color theme="1"/>
        <rFont val="Noto Sans CJK SC"/>
        <charset val="134"/>
      </rPr>
      <t>个新连接</t>
    </r>
  </si>
  <si>
    <r>
      <rPr>
        <sz val="11"/>
        <color theme="1"/>
        <rFont val="Noto Sans CJK SC"/>
        <charset val="134"/>
      </rPr>
      <t>发送第一批</t>
    </r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>封测试邮件
记录开信率和回复率</t>
    </r>
  </si>
  <si>
    <r>
      <rPr>
        <sz val="11"/>
        <color theme="1"/>
        <rFont val="Noto Sans CJK SC"/>
        <charset val="134"/>
      </rPr>
      <t xml:space="preserve">周复盘 </t>
    </r>
    <r>
      <rPr>
        <sz val="11"/>
        <color theme="1"/>
        <rFont val="Calibri"/>
        <charset val="1"/>
      </rPr>
      <t xml:space="preserve">+ </t>
    </r>
    <r>
      <rPr>
        <sz val="11"/>
        <color theme="1"/>
        <rFont val="Noto Sans CJK SC"/>
        <charset val="134"/>
      </rPr>
      <t>准备第</t>
    </r>
    <r>
      <rPr>
        <sz val="11"/>
        <color theme="1"/>
        <rFont val="Calibri"/>
        <charset val="1"/>
      </rPr>
      <t>4</t>
    </r>
    <r>
      <rPr>
        <sz val="11"/>
        <color theme="1"/>
        <rFont val="Noto Sans CJK SC"/>
        <charset val="134"/>
      </rPr>
      <t>周主动开发</t>
    </r>
  </si>
  <si>
    <t>博客发布数量</t>
  </si>
  <si>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篇</t>
    </r>
  </si>
  <si>
    <t>落地页完成</t>
  </si>
  <si>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个</t>
    </r>
  </si>
  <si>
    <t>网站自然流量</t>
  </si>
  <si>
    <r>
      <rPr>
        <sz val="11"/>
        <color theme="1"/>
        <rFont val="Calibri"/>
        <charset val="1"/>
      </rPr>
      <t>5-8</t>
    </r>
    <r>
      <rPr>
        <sz val="11"/>
        <color theme="1"/>
        <rFont val="Noto Sans CJK SC"/>
        <charset val="134"/>
      </rPr>
      <t>个</t>
    </r>
  </si>
  <si>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个</t>
    </r>
  </si>
  <si>
    <t>邮件序列完成</t>
  </si>
  <si>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封</t>
    </r>
  </si>
  <si>
    <t>测试邮件发送</t>
  </si>
  <si>
    <r>
      <rPr>
        <sz val="11"/>
        <color theme="1"/>
        <rFont val="Calibri"/>
        <charset val="1"/>
      </rPr>
      <t>10</t>
    </r>
    <r>
      <rPr>
        <sz val="11"/>
        <color theme="1"/>
        <rFont val="Noto Sans CJK SC"/>
        <charset val="134"/>
      </rPr>
      <t>封</t>
    </r>
  </si>
  <si>
    <t>邮件开信率</t>
  </si>
  <si>
    <t>&gt;20%</t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</si>
  <si>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哪篇博客的自然流量最高？（复制成功选题）</t>
    </r>
  </si>
  <si>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>行业落地页的转化率如何？（是否比通用页面高）</t>
    </r>
  </si>
  <si>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CJK SC"/>
        <charset val="134"/>
      </rPr>
      <t>测试邮件的回复情况？（验证主题和内容）</t>
    </r>
  </si>
  <si>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Noto Sans CJK SC"/>
        <charset val="134"/>
      </rPr>
      <t>询盘质量是否在提升？（</t>
    </r>
    <r>
      <rPr>
        <sz val="11"/>
        <color theme="1"/>
        <rFont val="Calibri"/>
        <charset val="1"/>
      </rPr>
      <t>A</t>
    </r>
    <r>
      <rPr>
        <sz val="11"/>
        <color theme="1"/>
        <rFont val="Noto Sans CJK SC"/>
        <charset val="134"/>
      </rPr>
      <t>级占比是否增加）</t>
    </r>
  </si>
  <si>
    <r>
      <rPr>
        <sz val="11"/>
        <color theme="1"/>
        <rFont val="Calibri"/>
        <charset val="1"/>
      </rPr>
      <t xml:space="preserve">5. </t>
    </r>
    <r>
      <rPr>
        <sz val="11"/>
        <color theme="1"/>
        <rFont val="Noto Sans CJK SC"/>
        <charset val="134"/>
      </rPr>
      <t>内容营销的投入产出比如何？（时间</t>
    </r>
    <r>
      <rPr>
        <sz val="11"/>
        <color theme="1"/>
        <rFont val="Calibri"/>
        <charset val="1"/>
      </rPr>
      <t>vs</t>
    </r>
    <r>
      <rPr>
        <sz val="11"/>
        <color theme="1"/>
        <rFont val="Noto Sans CJK SC"/>
        <charset val="134"/>
      </rPr>
      <t>效果）</t>
    </r>
  </si>
  <si>
    <r>
      <rPr>
        <b/>
        <sz val="14"/>
        <color rgb="FF1F4E78"/>
        <rFont val="Noto Sans CJK SC"/>
        <charset val="134"/>
      </rPr>
      <t>第</t>
    </r>
    <r>
      <rPr>
        <b/>
        <sz val="14"/>
        <color rgb="FF1F4E78"/>
        <rFont val="Cambria"/>
        <charset val="1"/>
      </rPr>
      <t>4</t>
    </r>
    <r>
      <rPr>
        <b/>
        <sz val="14"/>
        <color rgb="FF1F4E78"/>
        <rFont val="Noto Sans CJK SC"/>
        <charset val="134"/>
      </rPr>
      <t xml:space="preserve">周执行计划：主动开发 </t>
    </r>
    <r>
      <rPr>
        <b/>
        <sz val="14"/>
        <color rgb="FF1F4E78"/>
        <rFont val="Cambria"/>
        <charset val="1"/>
      </rPr>
      <t xml:space="preserve">+ </t>
    </r>
    <r>
      <rPr>
        <b/>
        <sz val="14"/>
        <color rgb="FF1F4E78"/>
        <rFont val="Noto Sans CJK SC"/>
        <charset val="134"/>
      </rPr>
      <t>样机策略落地</t>
    </r>
  </si>
  <si>
    <r>
      <rPr>
        <sz val="11"/>
        <color theme="1"/>
        <rFont val="Noto Sans CJK SC"/>
        <charset val="134"/>
      </rPr>
      <t>✅ 规模化邮件开发，发送</t>
    </r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封个性化邮件</t>
    </r>
  </si>
  <si>
    <t>✅ 建立样机申请流程，设置筛选条件</t>
  </si>
  <si>
    <r>
      <rPr>
        <sz val="11"/>
        <color theme="1"/>
        <rFont val="Noto Sans CJK SC"/>
        <charset val="134"/>
      </rPr>
      <t>✅ 完成前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周的所有数据复盘，调整策略</t>
    </r>
  </si>
  <si>
    <r>
      <rPr>
        <sz val="11"/>
        <color theme="1"/>
        <rFont val="Noto Sans CJK SC"/>
        <charset val="134"/>
      </rPr>
      <t>✅ 至少发出</t>
    </r>
    <r>
      <rPr>
        <sz val="11"/>
        <color theme="1"/>
        <rFont val="Calibri"/>
        <charset val="1"/>
      </rPr>
      <t>1-2</t>
    </r>
    <r>
      <rPr>
        <sz val="11"/>
        <color theme="1"/>
        <rFont val="Noto Sans CJK SC"/>
        <charset val="134"/>
      </rPr>
      <t>个样机给真实买家</t>
    </r>
  </si>
  <si>
    <t>完善样机申请页面
添加资格审核条件（公司邮箱、预期采购量）</t>
  </si>
  <si>
    <r>
      <rPr>
        <sz val="11"/>
        <color theme="1"/>
        <rFont val="Noto Sans CJK SC"/>
        <charset val="134"/>
      </rPr>
      <t>制定样机定价策略
批发价</t>
    </r>
    <r>
      <rPr>
        <sz val="11"/>
        <color theme="1"/>
        <rFont val="Calibri"/>
        <charset val="1"/>
      </rPr>
      <t>+</t>
    </r>
    <r>
      <rPr>
        <sz val="11"/>
        <color theme="1"/>
        <rFont val="Noto Sans CJK SC"/>
        <charset val="134"/>
      </rPr>
      <t>运费，后续订单可抵扣</t>
    </r>
  </si>
  <si>
    <r>
      <rPr>
        <sz val="11"/>
        <color theme="1"/>
        <rFont val="Calibri"/>
        <charset val="1"/>
      </rPr>
      <t>Apollo.io</t>
    </r>
    <r>
      <rPr>
        <sz val="11"/>
        <color theme="1"/>
        <rFont val="Noto Sans CJK SC"/>
        <charset val="134"/>
      </rPr>
      <t>导出</t>
    </r>
    <r>
      <rPr>
        <sz val="11"/>
        <color theme="1"/>
        <rFont val="Calibri"/>
        <charset val="1"/>
      </rPr>
      <t>300</t>
    </r>
    <r>
      <rPr>
        <sz val="11"/>
        <color theme="1"/>
        <rFont val="Noto Sans CJK SC"/>
        <charset val="134"/>
      </rPr>
      <t>个目标客户
（覆盖教育、零售、医疗行业）</t>
    </r>
  </si>
  <si>
    <r>
      <rPr>
        <sz val="11"/>
        <color theme="1"/>
        <rFont val="Noto Sans CJK SC"/>
        <charset val="134"/>
      </rPr>
      <t>发送第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批</t>
    </r>
    <r>
      <rPr>
        <sz val="11"/>
        <color theme="1"/>
        <rFont val="Calibri"/>
        <charset val="1"/>
      </rPr>
      <t>50</t>
    </r>
    <r>
      <rPr>
        <sz val="11"/>
        <color theme="1"/>
        <rFont val="Noto Sans CJK SC"/>
        <charset val="134"/>
      </rPr>
      <t>封邮件（个性化开发）</t>
    </r>
  </si>
  <si>
    <r>
      <rPr>
        <sz val="11"/>
        <color theme="1"/>
        <rFont val="Noto Sans CJK SC"/>
        <charset val="134"/>
      </rPr>
      <t>跟进前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周所有询盘
对</t>
    </r>
    <r>
      <rPr>
        <sz val="11"/>
        <color theme="1"/>
        <rFont val="Calibri"/>
        <charset val="1"/>
      </rPr>
      <t>A</t>
    </r>
    <r>
      <rPr>
        <sz val="11"/>
        <color theme="1"/>
        <rFont val="Noto Sans CJK SC"/>
        <charset val="134"/>
      </rPr>
      <t>级客户发送样机邀约</t>
    </r>
  </si>
  <si>
    <r>
      <rPr>
        <sz val="11"/>
        <color theme="1"/>
        <rFont val="Noto Sans CJK SC"/>
        <charset val="134"/>
      </rPr>
      <t>发送第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批</t>
    </r>
    <r>
      <rPr>
        <sz val="11"/>
        <color theme="1"/>
        <rFont val="Calibri"/>
        <charset val="1"/>
      </rPr>
      <t>50</t>
    </r>
    <r>
      <rPr>
        <sz val="11"/>
        <color theme="1"/>
        <rFont val="Noto Sans CJK SC"/>
        <charset val="134"/>
      </rPr>
      <t>封邮件</t>
    </r>
  </si>
  <si>
    <t>处理样机申请，审核资质
与符合条件的客户沟通细节</t>
  </si>
  <si>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发布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条公司动态
（展示生产能力或客户案例）</t>
    </r>
  </si>
  <si>
    <r>
      <rPr>
        <sz val="11"/>
        <color theme="1"/>
        <rFont val="Noto Sans CJK SC"/>
        <charset val="134"/>
      </rPr>
      <t>安排样机发货（至少</t>
    </r>
    <r>
      <rPr>
        <sz val="11"/>
        <color theme="1"/>
        <rFont val="Calibri"/>
        <charset val="1"/>
      </rPr>
      <t>1-2</t>
    </r>
    <r>
      <rPr>
        <sz val="11"/>
        <color theme="1"/>
        <rFont val="Noto Sans CJK SC"/>
        <charset val="134"/>
      </rPr>
      <t>个）</t>
    </r>
  </si>
  <si>
    <r>
      <rPr>
        <sz val="11"/>
        <color theme="1"/>
        <rFont val="Calibri"/>
        <charset val="1"/>
      </rPr>
      <t>4</t>
    </r>
    <r>
      <rPr>
        <sz val="11"/>
        <color theme="1"/>
        <rFont val="Noto Sans CJK SC"/>
        <charset val="134"/>
      </rPr>
      <t>周总复盘：数据汇总、成功经验、待优化项</t>
    </r>
  </si>
  <si>
    <t>主动开发邮件</t>
  </si>
  <si>
    <r>
      <rPr>
        <sz val="11"/>
        <color theme="1"/>
        <rFont val="Calibri"/>
        <charset val="1"/>
      </rPr>
      <t>100</t>
    </r>
    <r>
      <rPr>
        <sz val="11"/>
        <color theme="1"/>
        <rFont val="Noto Sans CJK SC"/>
        <charset val="134"/>
      </rPr>
      <t>封</t>
    </r>
  </si>
  <si>
    <t>邮件回复数</t>
  </si>
  <si>
    <r>
      <rPr>
        <sz val="11"/>
        <color theme="1"/>
        <rFont val="Calibri"/>
        <charset val="1"/>
      </rPr>
      <t>5-10</t>
    </r>
    <r>
      <rPr>
        <sz val="11"/>
        <color theme="1"/>
        <rFont val="Noto Sans CJK SC"/>
        <charset val="134"/>
      </rPr>
      <t>个</t>
    </r>
  </si>
  <si>
    <t>样机申请数</t>
  </si>
  <si>
    <t>样机实际发出</t>
  </si>
  <si>
    <t>总询盘数</t>
  </si>
  <si>
    <r>
      <rPr>
        <sz val="11"/>
        <color theme="1"/>
        <rFont val="Calibri"/>
        <charset val="1"/>
      </rPr>
      <t>8-12</t>
    </r>
    <r>
      <rPr>
        <sz val="11"/>
        <color theme="1"/>
        <rFont val="Noto Sans CJK SC"/>
        <charset val="134"/>
      </rPr>
      <t>个</t>
    </r>
  </si>
  <si>
    <r>
      <rPr>
        <b/>
        <sz val="11"/>
        <rFont val="Cambria"/>
        <charset val="1"/>
      </rPr>
      <t>LinkedIn</t>
    </r>
    <r>
      <rPr>
        <b/>
        <sz val="11"/>
        <rFont val="Noto Sans CJK SC"/>
        <charset val="134"/>
      </rPr>
      <t>总连接</t>
    </r>
  </si>
  <si>
    <t>500+</t>
  </si>
  <si>
    <t>累计网站流量</t>
  </si>
  <si>
    <r>
      <rPr>
        <b/>
        <sz val="11"/>
        <rFont val="Cambria"/>
        <charset val="1"/>
      </rPr>
      <t>4</t>
    </r>
    <r>
      <rPr>
        <b/>
        <sz val="11"/>
        <rFont val="Noto Sans CJK SC"/>
        <charset val="134"/>
      </rPr>
      <t>周总花费</t>
    </r>
    <r>
      <rPr>
        <b/>
        <sz val="11"/>
        <rFont val="Cambria"/>
        <charset val="1"/>
      </rPr>
      <t>($)</t>
    </r>
  </si>
  <si>
    <t>&lt;2000</t>
  </si>
  <si>
    <r>
      <rPr>
        <b/>
        <sz val="12"/>
        <rFont val="Cambria"/>
        <charset val="1"/>
      </rPr>
      <t>💡 4</t>
    </r>
    <r>
      <rPr>
        <b/>
        <sz val="12"/>
        <rFont val="Noto Sans CJK SC"/>
        <charset val="134"/>
      </rPr>
      <t>周总复盘</t>
    </r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</si>
  <si>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哪个渠道的</t>
    </r>
    <r>
      <rPr>
        <sz val="11"/>
        <color theme="1"/>
        <rFont val="Calibri"/>
        <charset val="1"/>
      </rPr>
      <t>ROI</t>
    </r>
    <r>
      <rPr>
        <sz val="11"/>
        <color theme="1"/>
        <rFont val="Noto Sans CJK SC"/>
        <charset val="134"/>
      </rPr>
      <t>最高？（</t>
    </r>
    <r>
      <rPr>
        <sz val="11"/>
        <color theme="1"/>
        <rFont val="Calibri"/>
        <charset val="1"/>
      </rPr>
      <t xml:space="preserve">Google Ads vs SEO vs LinkedIn vs </t>
    </r>
    <r>
      <rPr>
        <sz val="11"/>
        <color theme="1"/>
        <rFont val="Noto Sans CJK SC"/>
        <charset val="134"/>
      </rPr>
      <t>邮件）</t>
    </r>
  </si>
  <si>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>询盘质量最高的来源？（决定下阶段资源分配）</t>
    </r>
  </si>
  <si>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CJK SC"/>
        <charset val="134"/>
      </rPr>
      <t>样机发出后，客户反馈如何？（是否有转化为订单的可能）</t>
    </r>
  </si>
  <si>
    <r>
      <rPr>
        <sz val="11"/>
        <color theme="1"/>
        <rFont val="Calibri"/>
        <charset val="1"/>
      </rPr>
      <t>4. 4</t>
    </r>
    <r>
      <rPr>
        <sz val="11"/>
        <color theme="1"/>
        <rFont val="Noto Sans CJK SC"/>
        <charset val="134"/>
      </rPr>
      <t>周预算使用情况？（是否需要调整分配）</t>
    </r>
  </si>
  <si>
    <r>
      <rPr>
        <sz val="11"/>
        <color theme="1"/>
        <rFont val="Calibri"/>
        <charset val="1"/>
      </rPr>
      <t xml:space="preserve">5. </t>
    </r>
    <r>
      <rPr>
        <sz val="11"/>
        <color theme="1"/>
        <rFont val="Noto Sans CJK SC"/>
        <charset val="134"/>
      </rPr>
      <t>下个月的重点方向？（放大有效渠道，砍掉无效动作）</t>
    </r>
  </si>
  <si>
    <r>
      <rPr>
        <b/>
        <sz val="14"/>
        <color rgb="FF1F4E78"/>
        <rFont val="Noto Sans CJK SC"/>
        <charset val="134"/>
      </rPr>
      <t xml:space="preserve">周复盘模板 </t>
    </r>
    <r>
      <rPr>
        <b/>
        <sz val="14"/>
        <color rgb="FF1F4E78"/>
        <rFont val="Cambria"/>
        <charset val="1"/>
      </rPr>
      <t xml:space="preserve">- </t>
    </r>
    <r>
      <rPr>
        <b/>
        <sz val="14"/>
        <color rgb="FF1F4E78"/>
        <rFont val="Noto Sans CJK SC"/>
        <charset val="134"/>
      </rPr>
      <t>数据驱动迭代</t>
    </r>
  </si>
  <si>
    <t>📅 复盘周次：</t>
  </si>
  <si>
    <t>📅 复盘日期：</t>
  </si>
  <si>
    <t>一、本周目标回顾</t>
  </si>
  <si>
    <t>本周设定的目标：</t>
  </si>
  <si>
    <t>二、数据完成情况</t>
  </si>
  <si>
    <t>✅/❌</t>
  </si>
  <si>
    <t>原因分析</t>
  </si>
  <si>
    <r>
      <rPr>
        <b/>
        <sz val="12"/>
        <rFont val="Noto Sans CJK SC"/>
        <charset val="134"/>
      </rPr>
      <t>三、关键洞察（</t>
    </r>
    <r>
      <rPr>
        <b/>
        <sz val="12"/>
        <rFont val="Cambria"/>
        <charset val="1"/>
      </rPr>
      <t>3</t>
    </r>
    <r>
      <rPr>
        <b/>
        <sz val="12"/>
        <rFont val="Noto Sans CJK SC"/>
        <charset val="134"/>
      </rPr>
      <t>个最重要的发现）</t>
    </r>
  </si>
  <si>
    <t>1.</t>
  </si>
  <si>
    <t>2.</t>
  </si>
  <si>
    <t>3.</t>
  </si>
  <si>
    <t>四、问题与挑战</t>
  </si>
  <si>
    <t>问题描述</t>
  </si>
  <si>
    <t>影响程度</t>
  </si>
  <si>
    <t>根本原因</t>
  </si>
  <si>
    <t>解决方案</t>
  </si>
  <si>
    <t>完成时间</t>
  </si>
  <si>
    <t>五、成功经验（可复制的做法）</t>
  </si>
  <si>
    <t>六、下周调整策略</t>
  </si>
  <si>
    <t>💰 预算调整：</t>
  </si>
  <si>
    <t>🎯 重点聚焦：</t>
  </si>
  <si>
    <t>🚫 停止动作：</t>
  </si>
  <si>
    <t>➕ 新增尝试：</t>
  </si>
  <si>
    <t>📊 重点监控指标：</t>
  </si>
  <si>
    <r>
      <rPr>
        <b/>
        <sz val="12"/>
        <color rgb="FFFFFFFF"/>
        <rFont val="Noto Sans CJK SC"/>
        <charset val="134"/>
      </rPr>
      <t>七、下周</t>
    </r>
    <r>
      <rPr>
        <b/>
        <sz val="12"/>
        <color rgb="FFFFFFFF"/>
        <rFont val="Cambria"/>
        <charset val="1"/>
      </rPr>
      <t>TOP3</t>
    </r>
    <r>
      <rPr>
        <b/>
        <sz val="12"/>
        <color rgb="FFFFFFFF"/>
        <rFont val="Noto Sans CJK SC"/>
        <charset val="134"/>
      </rPr>
      <t>优先事项</t>
    </r>
  </si>
  <si>
    <r>
      <rPr>
        <b/>
        <sz val="11"/>
        <rFont val="Noto Sans CJK SC"/>
        <charset val="134"/>
      </rPr>
      <t>优先级</t>
    </r>
    <r>
      <rPr>
        <b/>
        <sz val="11"/>
        <rFont val="Cambria"/>
        <charset val="1"/>
      </rPr>
      <t>1:</t>
    </r>
  </si>
  <si>
    <r>
      <rPr>
        <b/>
        <sz val="11"/>
        <rFont val="Noto Sans CJK SC"/>
        <charset val="134"/>
      </rPr>
      <t>优先级</t>
    </r>
    <r>
      <rPr>
        <b/>
        <sz val="11"/>
        <rFont val="Cambria"/>
        <charset val="1"/>
      </rPr>
      <t>2:</t>
    </r>
  </si>
  <si>
    <r>
      <rPr>
        <b/>
        <sz val="11"/>
        <rFont val="Noto Sans CJK SC"/>
        <charset val="134"/>
      </rPr>
      <t>优先级</t>
    </r>
    <r>
      <rPr>
        <b/>
        <sz val="11"/>
        <rFont val="Cambria"/>
        <charset val="1"/>
      </rPr>
      <t>3: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</si>
</sst>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"/>
    </font>
    <font>
      <b/>
      <sz val="14"/>
      <color rgb="FF1F4E78"/>
      <name val="Noto Sans CJK SC"/>
      <charset val="134"/>
    </font>
    <font>
      <sz val="11"/>
      <color theme="1"/>
      <name val="Noto Sans CJK SC"/>
      <charset val="134"/>
    </font>
    <font>
      <b/>
      <sz val="12"/>
      <name val="Noto Sans CJK SC"/>
      <charset val="134"/>
    </font>
    <font>
      <b/>
      <sz val="12"/>
      <color rgb="FFFFFFFF"/>
      <name val="Cambria"/>
      <charset val="1"/>
    </font>
    <font>
      <b/>
      <sz val="12"/>
      <color rgb="FFFFFFFF"/>
      <name val="Noto Sans CJK SC"/>
      <charset val="134"/>
    </font>
    <font>
      <b/>
      <sz val="11"/>
      <name val="Noto Sans CJK SC"/>
      <charset val="134"/>
    </font>
    <font>
      <b/>
      <sz val="11"/>
      <name val="Cambria"/>
      <charset val="1"/>
    </font>
    <font>
      <b/>
      <sz val="12"/>
      <name val="Cambria"/>
      <charset val="1"/>
    </font>
    <font>
      <b/>
      <sz val="16"/>
      <color rgb="FF1F4E78"/>
      <name val="Cambria"/>
      <charset val="1"/>
    </font>
    <font>
      <b/>
      <sz val="14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1F4E78"/>
      <name val="Cambria"/>
      <charset val="1"/>
    </font>
    <font>
      <b/>
      <sz val="16"/>
      <color rgb="FF1F4E78"/>
      <name val="Noto Sans CJK SC"/>
      <charset val="134"/>
    </font>
  </fonts>
  <fills count="4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2F2F2"/>
        <bgColor rgb="FFE7E6E6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6B6B"/>
        <bgColor rgb="FFFF6600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/>
    <xf numFmtId="0" fontId="3" fillId="2" borderId="0" xfId="0" applyFont="1" applyFill="1" applyBorder="1"/>
    <xf numFmtId="0" fontId="2" fillId="0" borderId="0" xfId="0" applyFont="1" applyBorder="1"/>
    <xf numFmtId="0" fontId="0" fillId="3" borderId="0" xfId="0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Font="1" applyBorder="1"/>
    <xf numFmtId="0" fontId="0" fillId="5" borderId="0" xfId="0" applyFill="1" applyBorder="1" applyAlignment="1">
      <alignment horizontal="left" vertical="top" wrapText="1"/>
    </xf>
    <xf numFmtId="0" fontId="5" fillId="4" borderId="1" xfId="0" applyFont="1" applyFill="1" applyBorder="1"/>
    <xf numFmtId="0" fontId="0" fillId="0" borderId="1" xfId="0" applyFont="1" applyBorder="1" applyAlignment="1">
      <alignment horizontal="left" vertical="top" wrapText="1"/>
    </xf>
    <xf numFmtId="0" fontId="3" fillId="6" borderId="0" xfId="0" applyFont="1" applyFill="1" applyBorder="1"/>
    <xf numFmtId="0" fontId="0" fillId="0" borderId="0" xfId="0" applyBorder="1" applyAlignment="1">
      <alignment horizontal="left" vertical="top" wrapText="1"/>
    </xf>
    <xf numFmtId="0" fontId="6" fillId="0" borderId="0" xfId="0" applyFont="1"/>
    <xf numFmtId="0" fontId="5" fillId="7" borderId="0" xfId="0" applyFont="1" applyFill="1" applyBorder="1"/>
    <xf numFmtId="0" fontId="0" fillId="8" borderId="0" xfId="0" applyFill="1" applyBorder="1" applyAlignment="1">
      <alignment horizontal="left" vertical="center" wrapText="1"/>
    </xf>
    <xf numFmtId="0" fontId="0" fillId="9" borderId="1" xfId="0" applyFill="1" applyBorder="1"/>
    <xf numFmtId="0" fontId="3" fillId="0" borderId="0" xfId="0" applyFont="1" applyBorder="1"/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4" fillId="4" borderId="1" xfId="0" applyFont="1" applyFill="1" applyBorder="1"/>
    <xf numFmtId="0" fontId="6" fillId="5" borderId="1" xfId="0" applyFont="1" applyFill="1" applyBorder="1"/>
    <xf numFmtId="9" fontId="0" fillId="0" borderId="1" xfId="0" applyNumberFormat="1" applyBorder="1"/>
    <xf numFmtId="0" fontId="7" fillId="5" borderId="1" xfId="0" applyFont="1" applyFill="1" applyBorder="1"/>
    <xf numFmtId="0" fontId="8" fillId="10" borderId="0" xfId="0" applyFont="1" applyFill="1" applyBorder="1"/>
    <xf numFmtId="0" fontId="0" fillId="0" borderId="0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3" fillId="5" borderId="0" xfId="0" applyFont="1" applyFill="1" applyBorder="1"/>
    <xf numFmtId="0" fontId="2" fillId="0" borderId="1" xfId="0" applyFont="1" applyBorder="1"/>
    <xf numFmtId="0" fontId="1" fillId="0" borderId="0" xfId="0" applyFont="1" applyBorder="1" applyAlignment="1">
      <alignment horizontal="center" vertical="center"/>
    </xf>
    <xf numFmtId="0" fontId="0" fillId="11" borderId="0" xfId="0" applyFill="1"/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/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/>
    <xf numFmtId="9" fontId="7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2CC"/>
      <rgbColor rgb="00F2F2F2"/>
      <rgbColor rgb="00660066"/>
      <rgbColor rgb="00FF6B6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7E6E6"/>
      <rgbColor rgb="00C6EFCE"/>
      <rgbColor rgb="00FFEB9C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A1:H1"/>
    </sheetView>
  </sheetViews>
  <sheetFormatPr defaultColWidth="8.6796875" defaultRowHeight="16.8" outlineLevelCol="7"/>
  <cols>
    <col min="1" max="1" width="18" customWidth="1"/>
    <col min="2" max="8" width="14" customWidth="1"/>
  </cols>
  <sheetData>
    <row r="1" ht="24" spans="1:8">
      <c r="A1" s="40" t="s">
        <v>0</v>
      </c>
      <c r="B1" s="40"/>
      <c r="C1" s="40"/>
      <c r="D1" s="40"/>
      <c r="E1" s="40"/>
      <c r="F1" s="40"/>
      <c r="G1" s="40"/>
      <c r="H1" s="40"/>
    </row>
    <row r="3" ht="20.4" spans="1:8">
      <c r="A3" s="41" t="s">
        <v>1</v>
      </c>
      <c r="B3" s="41"/>
      <c r="C3" s="41"/>
      <c r="D3" s="41"/>
      <c r="E3" s="41"/>
      <c r="F3" s="41"/>
      <c r="G3" s="41"/>
      <c r="H3" s="41"/>
    </row>
    <row r="5" ht="17.6" spans="1:8">
      <c r="A5" s="36" t="s">
        <v>2</v>
      </c>
      <c r="B5" s="36" t="s">
        <v>3</v>
      </c>
      <c r="C5" s="36" t="s">
        <v>4</v>
      </c>
      <c r="D5" s="36" t="s">
        <v>5</v>
      </c>
      <c r="E5" s="36" t="s">
        <v>6</v>
      </c>
      <c r="F5" s="36" t="s">
        <v>7</v>
      </c>
      <c r="G5" s="36" t="s">
        <v>8</v>
      </c>
      <c r="H5" s="43" t="s">
        <v>9</v>
      </c>
    </row>
    <row r="6" ht="34" spans="1:8">
      <c r="A6" s="42" t="s">
        <v>10</v>
      </c>
      <c r="B6" s="37" t="s">
        <v>11</v>
      </c>
      <c r="C6" s="37"/>
      <c r="D6" s="37"/>
      <c r="E6" s="37"/>
      <c r="F6" s="37"/>
      <c r="G6" s="37"/>
      <c r="H6" s="37"/>
    </row>
    <row r="7" ht="34" spans="1:8">
      <c r="A7" s="42" t="s">
        <v>12</v>
      </c>
      <c r="B7" s="37" t="s">
        <v>13</v>
      </c>
      <c r="C7" s="37"/>
      <c r="D7" s="37"/>
      <c r="E7" s="37"/>
      <c r="F7" s="37"/>
      <c r="G7" s="37"/>
      <c r="H7" s="37"/>
    </row>
    <row r="8" ht="34" spans="1:8">
      <c r="A8" s="42" t="s">
        <v>14</v>
      </c>
      <c r="B8" s="37" t="s">
        <v>15</v>
      </c>
      <c r="C8" s="37"/>
      <c r="D8" s="37"/>
      <c r="E8" s="37"/>
      <c r="F8" s="37"/>
      <c r="G8" s="37"/>
      <c r="H8" s="37"/>
    </row>
    <row r="9" ht="34" spans="1:8">
      <c r="A9" s="42" t="s">
        <v>16</v>
      </c>
      <c r="B9" s="37" t="s">
        <v>17</v>
      </c>
      <c r="C9" s="37"/>
      <c r="D9" s="37"/>
      <c r="E9" s="37"/>
      <c r="F9" s="37"/>
      <c r="G9" s="37"/>
      <c r="H9" s="37"/>
    </row>
    <row r="11" ht="20.4" spans="1:8">
      <c r="A11" s="41" t="s">
        <v>18</v>
      </c>
      <c r="B11" s="41"/>
      <c r="C11" s="41"/>
      <c r="D11" s="41"/>
      <c r="E11" s="41"/>
      <c r="F11" s="41"/>
      <c r="G11" s="41"/>
      <c r="H11" s="41"/>
    </row>
    <row r="13" ht="18" spans="1:8">
      <c r="A13" s="43" t="s">
        <v>19</v>
      </c>
      <c r="B13" s="36" t="s">
        <v>20</v>
      </c>
      <c r="C13" s="36" t="s">
        <v>21</v>
      </c>
      <c r="D13" s="36" t="s">
        <v>22</v>
      </c>
      <c r="E13" s="36" t="s">
        <v>23</v>
      </c>
      <c r="F13" s="36" t="s">
        <v>24</v>
      </c>
      <c r="G13" s="36" t="s">
        <v>25</v>
      </c>
      <c r="H13" s="36" t="s">
        <v>26</v>
      </c>
    </row>
    <row r="14" spans="1:8">
      <c r="A14" s="24" t="s">
        <v>27</v>
      </c>
      <c r="B14" s="9" t="s">
        <v>28</v>
      </c>
      <c r="C14" s="9"/>
      <c r="D14" s="9"/>
      <c r="E14" s="9"/>
      <c r="F14" s="9"/>
      <c r="G14" s="44">
        <f t="shared" ref="G14:G21" si="0">SUM(C14:F14)</f>
        <v>0</v>
      </c>
      <c r="H14" s="45">
        <f t="shared" ref="H14:H21" si="1">G14/B14</f>
        <v>0</v>
      </c>
    </row>
    <row r="15" spans="1:8">
      <c r="A15" s="24" t="s">
        <v>29</v>
      </c>
      <c r="B15" s="9" t="s">
        <v>30</v>
      </c>
      <c r="C15" s="9"/>
      <c r="D15" s="9"/>
      <c r="E15" s="9"/>
      <c r="F15" s="9"/>
      <c r="G15" s="44">
        <f t="shared" si="0"/>
        <v>0</v>
      </c>
      <c r="H15" s="45">
        <f t="shared" si="1"/>
        <v>0</v>
      </c>
    </row>
    <row r="16" ht="17" spans="1:8">
      <c r="A16" s="26" t="s">
        <v>31</v>
      </c>
      <c r="B16" s="9" t="s">
        <v>32</v>
      </c>
      <c r="C16" s="9"/>
      <c r="D16" s="9"/>
      <c r="E16" s="9"/>
      <c r="F16" s="9"/>
      <c r="G16" s="44">
        <f t="shared" si="0"/>
        <v>0</v>
      </c>
      <c r="H16" s="45">
        <f t="shared" si="1"/>
        <v>0</v>
      </c>
    </row>
    <row r="17" ht="17" spans="1:8">
      <c r="A17" s="26" t="s">
        <v>33</v>
      </c>
      <c r="B17" s="9" t="s">
        <v>34</v>
      </c>
      <c r="C17" s="9"/>
      <c r="D17" s="9"/>
      <c r="E17" s="9"/>
      <c r="F17" s="9"/>
      <c r="G17" s="44">
        <f t="shared" si="0"/>
        <v>0</v>
      </c>
      <c r="H17" s="45">
        <f t="shared" si="1"/>
        <v>0</v>
      </c>
    </row>
    <row r="18" ht="17" spans="1:8">
      <c r="A18" s="26" t="s">
        <v>35</v>
      </c>
      <c r="B18" s="9" t="s">
        <v>36</v>
      </c>
      <c r="C18" s="9"/>
      <c r="D18" s="9"/>
      <c r="E18" s="9"/>
      <c r="F18" s="9"/>
      <c r="G18" s="44">
        <f t="shared" si="0"/>
        <v>0</v>
      </c>
      <c r="H18" s="45">
        <f t="shared" si="1"/>
        <v>0</v>
      </c>
    </row>
    <row r="19" spans="1:8">
      <c r="A19" s="24" t="s">
        <v>37</v>
      </c>
      <c r="B19" s="9" t="s">
        <v>38</v>
      </c>
      <c r="C19" s="9"/>
      <c r="D19" s="9"/>
      <c r="E19" s="9"/>
      <c r="F19" s="9"/>
      <c r="G19" s="44">
        <f t="shared" si="0"/>
        <v>0</v>
      </c>
      <c r="H19" s="45">
        <f t="shared" si="1"/>
        <v>0</v>
      </c>
    </row>
    <row r="20" spans="1:8">
      <c r="A20" s="24" t="s">
        <v>39</v>
      </c>
      <c r="B20" s="9" t="s">
        <v>40</v>
      </c>
      <c r="C20" s="9"/>
      <c r="D20" s="9"/>
      <c r="E20" s="9"/>
      <c r="F20" s="9"/>
      <c r="G20" s="44">
        <f t="shared" si="0"/>
        <v>0</v>
      </c>
      <c r="H20" s="45">
        <f t="shared" si="1"/>
        <v>0</v>
      </c>
    </row>
    <row r="21" ht="17" spans="1:8">
      <c r="A21" s="24" t="s">
        <v>41</v>
      </c>
      <c r="B21" s="9" t="s">
        <v>42</v>
      </c>
      <c r="C21" s="9"/>
      <c r="D21" s="9"/>
      <c r="E21" s="9"/>
      <c r="F21" s="9"/>
      <c r="G21" s="44">
        <f t="shared" si="0"/>
        <v>0</v>
      </c>
      <c r="H21" s="45">
        <f t="shared" si="1"/>
        <v>0</v>
      </c>
    </row>
  </sheetData>
  <mergeCells count="3">
    <mergeCell ref="A1:H1"/>
    <mergeCell ref="A3:H3"/>
    <mergeCell ref="A11:H1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opLeftCell="A14" workbookViewId="0">
      <selection activeCell="A1" sqref="A1:F1"/>
    </sheetView>
  </sheetViews>
  <sheetFormatPr defaultColWidth="8.6796875" defaultRowHeight="16.8" outlineLevelCol="5"/>
  <cols>
    <col min="1" max="1" width="15" customWidth="1"/>
    <col min="2" max="2" width="20" customWidth="1"/>
    <col min="3" max="6" width="15" customWidth="1"/>
  </cols>
  <sheetData>
    <row r="1" ht="21" spans="1:6">
      <c r="A1" s="32" t="s">
        <v>43</v>
      </c>
      <c r="B1" s="32"/>
      <c r="C1" s="32"/>
      <c r="D1" s="32"/>
      <c r="E1" s="32"/>
      <c r="F1" s="32"/>
    </row>
    <row r="2" spans="1:2">
      <c r="A2" s="2" t="s">
        <v>44</v>
      </c>
      <c r="B2" s="33"/>
    </row>
    <row r="4" ht="17.6" spans="1:6">
      <c r="A4" s="19" t="s">
        <v>45</v>
      </c>
      <c r="B4" s="19"/>
      <c r="C4" s="19"/>
      <c r="D4" s="19"/>
      <c r="E4" s="19"/>
      <c r="F4" s="19"/>
    </row>
    <row r="5" ht="68" spans="1:1">
      <c r="A5" s="34" t="s">
        <v>46</v>
      </c>
    </row>
    <row r="6" ht="68" spans="1:1">
      <c r="A6" s="34" t="s">
        <v>47</v>
      </c>
    </row>
    <row r="7" ht="68" spans="1:1">
      <c r="A7" s="34" t="s">
        <v>48</v>
      </c>
    </row>
    <row r="8" ht="51" spans="1:1">
      <c r="A8" s="35" t="s">
        <v>49</v>
      </c>
    </row>
    <row r="10" ht="17.6" spans="1:6">
      <c r="A10" s="3" t="s">
        <v>50</v>
      </c>
      <c r="B10" s="3"/>
      <c r="C10" s="3"/>
      <c r="D10" s="3"/>
      <c r="E10" s="3"/>
      <c r="F10" s="3"/>
    </row>
    <row r="11" ht="17.6" spans="1:6">
      <c r="A11" s="36" t="s">
        <v>51</v>
      </c>
      <c r="B11" s="36" t="s">
        <v>52</v>
      </c>
      <c r="C11" s="36" t="s">
        <v>53</v>
      </c>
      <c r="D11" s="36" t="s">
        <v>54</v>
      </c>
      <c r="E11" s="36" t="s">
        <v>55</v>
      </c>
      <c r="F11" s="36" t="s">
        <v>56</v>
      </c>
    </row>
    <row r="12" ht="68" spans="1:6">
      <c r="A12" s="37" t="s">
        <v>57</v>
      </c>
      <c r="B12" s="21" t="s">
        <v>58</v>
      </c>
      <c r="C12" s="37"/>
      <c r="D12" s="38"/>
      <c r="E12" s="37"/>
      <c r="F12" s="37"/>
    </row>
    <row r="13" ht="34" spans="1:6">
      <c r="A13" s="37" t="s">
        <v>57</v>
      </c>
      <c r="B13" s="21" t="s">
        <v>59</v>
      </c>
      <c r="C13" s="37"/>
      <c r="D13" s="38"/>
      <c r="E13" s="37"/>
      <c r="F13" s="37"/>
    </row>
    <row r="14" ht="101" spans="1:6">
      <c r="A14" s="37" t="s">
        <v>60</v>
      </c>
      <c r="B14" s="21" t="s">
        <v>61</v>
      </c>
      <c r="C14" s="37"/>
      <c r="D14" s="38"/>
      <c r="E14" s="37"/>
      <c r="F14" s="37"/>
    </row>
    <row r="15" ht="34" spans="1:6">
      <c r="A15" s="37" t="s">
        <v>60</v>
      </c>
      <c r="B15" s="21" t="s">
        <v>62</v>
      </c>
      <c r="C15" s="37"/>
      <c r="D15" s="38"/>
      <c r="E15" s="37"/>
      <c r="F15" s="37"/>
    </row>
    <row r="16" ht="34" spans="1:6">
      <c r="A16" s="37" t="s">
        <v>63</v>
      </c>
      <c r="B16" s="21" t="s">
        <v>64</v>
      </c>
      <c r="C16" s="37"/>
      <c r="D16" s="38"/>
      <c r="E16" s="37"/>
      <c r="F16" s="37"/>
    </row>
    <row r="17" ht="34" spans="1:6">
      <c r="A17" s="37" t="s">
        <v>63</v>
      </c>
      <c r="B17" s="21" t="s">
        <v>65</v>
      </c>
      <c r="C17" s="37"/>
      <c r="D17" s="38"/>
      <c r="E17" s="37"/>
      <c r="F17" s="37"/>
    </row>
    <row r="18" ht="34" spans="1:6">
      <c r="A18" s="37" t="s">
        <v>66</v>
      </c>
      <c r="B18" s="21" t="s">
        <v>67</v>
      </c>
      <c r="C18" s="37"/>
      <c r="D18" s="38"/>
      <c r="E18" s="37"/>
      <c r="F18" s="37"/>
    </row>
    <row r="19" ht="51" spans="1:6">
      <c r="A19" s="37" t="s">
        <v>66</v>
      </c>
      <c r="B19" s="21" t="s">
        <v>68</v>
      </c>
      <c r="C19" s="37"/>
      <c r="D19" s="38"/>
      <c r="E19" s="37"/>
      <c r="F19" s="37"/>
    </row>
    <row r="20" ht="68" spans="1:6">
      <c r="A20" s="37" t="s">
        <v>69</v>
      </c>
      <c r="B20" s="12" t="s">
        <v>70</v>
      </c>
      <c r="C20" s="37"/>
      <c r="D20" s="38"/>
      <c r="E20" s="37"/>
      <c r="F20" s="37"/>
    </row>
    <row r="21" ht="34" spans="1:6">
      <c r="A21" s="37" t="s">
        <v>69</v>
      </c>
      <c r="B21" s="21" t="s">
        <v>71</v>
      </c>
      <c r="C21" s="37"/>
      <c r="D21" s="38"/>
      <c r="E21" s="37"/>
      <c r="F21" s="37"/>
    </row>
    <row r="23" ht="18" spans="1:6">
      <c r="A23" s="3" t="s">
        <v>72</v>
      </c>
      <c r="B23" s="3"/>
      <c r="C23" s="3"/>
      <c r="D23" s="3"/>
      <c r="E23" s="3"/>
      <c r="F23" s="3"/>
    </row>
    <row r="24" ht="18" spans="1:6">
      <c r="A24" s="23" t="s">
        <v>19</v>
      </c>
      <c r="B24" s="11" t="s">
        <v>20</v>
      </c>
      <c r="C24" s="11" t="s">
        <v>73</v>
      </c>
      <c r="D24" s="11" t="s">
        <v>74</v>
      </c>
      <c r="E24" s="11" t="s">
        <v>75</v>
      </c>
      <c r="F24" s="11" t="s">
        <v>76</v>
      </c>
    </row>
    <row r="25" ht="17" spans="1:6">
      <c r="A25" s="26" t="s">
        <v>77</v>
      </c>
      <c r="B25" s="9" t="s">
        <v>78</v>
      </c>
      <c r="C25" s="9"/>
      <c r="D25" s="25" t="str">
        <f>IF(C25="","",C25/150)</f>
        <v/>
      </c>
      <c r="E25" s="9"/>
      <c r="F25" s="9"/>
    </row>
    <row r="26" spans="1:6">
      <c r="A26" s="26" t="s">
        <v>79</v>
      </c>
      <c r="B26" s="9" t="s">
        <v>80</v>
      </c>
      <c r="C26" s="9"/>
      <c r="D26" s="25" t="str">
        <f>IF(C26="","",IF(C26&gt;0.02,"✅达标","⚠️需优化"))</f>
        <v/>
      </c>
      <c r="E26" s="9"/>
      <c r="F26" s="9"/>
    </row>
    <row r="27" spans="1:6">
      <c r="A27" s="24" t="s">
        <v>27</v>
      </c>
      <c r="B27" s="9" t="s">
        <v>81</v>
      </c>
      <c r="C27" s="9"/>
      <c r="D27" s="25" t="str">
        <f>IF(C27="","",C27/150)</f>
        <v/>
      </c>
      <c r="E27" s="9"/>
      <c r="F27" s="9"/>
    </row>
    <row r="28" ht="17" spans="1:6">
      <c r="A28" s="24" t="s">
        <v>82</v>
      </c>
      <c r="B28" s="9" t="s">
        <v>83</v>
      </c>
      <c r="C28" s="9"/>
      <c r="D28" s="25"/>
      <c r="E28" s="9"/>
      <c r="F28" s="9"/>
    </row>
    <row r="29" spans="1:6">
      <c r="A29" s="24" t="s">
        <v>84</v>
      </c>
      <c r="B29" s="9" t="s">
        <v>85</v>
      </c>
      <c r="C29" s="9"/>
      <c r="D29" s="25"/>
      <c r="E29" s="9"/>
      <c r="F29" s="9"/>
    </row>
    <row r="30" ht="17" spans="1:6">
      <c r="A30" s="24" t="s">
        <v>29</v>
      </c>
      <c r="B30" s="9" t="s">
        <v>86</v>
      </c>
      <c r="C30" s="9"/>
      <c r="D30" s="25" t="str">
        <f>IF(C30="","",IF(C30&gt;=1,"✅有询盘","❌无询盘"))</f>
        <v/>
      </c>
      <c r="E30" s="9"/>
      <c r="F30" s="9"/>
    </row>
    <row r="31" ht="17" spans="1:6">
      <c r="A31" s="26" t="s">
        <v>87</v>
      </c>
      <c r="B31" s="9" t="s">
        <v>88</v>
      </c>
      <c r="C31" s="9"/>
      <c r="D31" s="25" t="str">
        <f>IF(C31="","",C31/50)</f>
        <v/>
      </c>
      <c r="E31" s="9"/>
      <c r="F31" s="9"/>
    </row>
    <row r="32" spans="1:6">
      <c r="A32" s="24" t="s">
        <v>89</v>
      </c>
      <c r="B32" s="9" t="s">
        <v>90</v>
      </c>
      <c r="C32" s="9"/>
      <c r="D32" s="25"/>
      <c r="E32" s="9"/>
      <c r="F32" s="9"/>
    </row>
    <row r="33" ht="17" spans="1:6">
      <c r="A33" s="24" t="s">
        <v>91</v>
      </c>
      <c r="B33" s="9" t="s">
        <v>92</v>
      </c>
      <c r="C33" s="9"/>
      <c r="D33" s="9" t="str">
        <f>IF(C33="","",IF(C33&lt;=350,"✅预算内","⚠️超预算"))</f>
        <v/>
      </c>
      <c r="E33" s="9"/>
      <c r="F33" s="9"/>
    </row>
    <row r="35" ht="17.6" spans="1:6">
      <c r="A35" s="30" t="s">
        <v>93</v>
      </c>
      <c r="B35" s="30"/>
      <c r="C35" s="30"/>
      <c r="D35" s="30"/>
      <c r="E35" s="30"/>
      <c r="F35" s="30"/>
    </row>
    <row r="36" ht="17.15" customHeight="1" spans="1:6">
      <c r="A36" s="39" t="s">
        <v>94</v>
      </c>
      <c r="B36" s="39"/>
      <c r="C36" s="39"/>
      <c r="D36" s="39"/>
      <c r="E36" s="39"/>
      <c r="F36" s="39"/>
    </row>
    <row r="37" ht="17.15" customHeight="1" spans="1:6">
      <c r="A37" s="39" t="s">
        <v>95</v>
      </c>
      <c r="B37" s="39"/>
      <c r="C37" s="39"/>
      <c r="D37" s="39"/>
      <c r="E37" s="39"/>
      <c r="F37" s="39"/>
    </row>
    <row r="38" ht="17.15" customHeight="1" spans="1:6">
      <c r="A38" s="39" t="s">
        <v>96</v>
      </c>
      <c r="B38" s="39"/>
      <c r="C38" s="39"/>
      <c r="D38" s="39"/>
      <c r="E38" s="39"/>
      <c r="F38" s="39"/>
    </row>
    <row r="39" ht="17.15" customHeight="1" spans="1:6">
      <c r="A39" s="39" t="s">
        <v>97</v>
      </c>
      <c r="B39" s="39"/>
      <c r="C39" s="39"/>
      <c r="D39" s="39"/>
      <c r="E39" s="39"/>
      <c r="F39" s="39"/>
    </row>
    <row r="40" ht="17.15" customHeight="1" spans="1:6">
      <c r="A40" s="39" t="s">
        <v>98</v>
      </c>
      <c r="B40" s="39"/>
      <c r="C40" s="39"/>
      <c r="D40" s="39"/>
      <c r="E40" s="39"/>
      <c r="F40" s="39"/>
    </row>
  </sheetData>
  <mergeCells count="10">
    <mergeCell ref="A1:F1"/>
    <mergeCell ref="A4:F4"/>
    <mergeCell ref="A10:F10"/>
    <mergeCell ref="A23:F23"/>
    <mergeCell ref="A35:F35"/>
    <mergeCell ref="A36:F36"/>
    <mergeCell ref="A37:F37"/>
    <mergeCell ref="A38:F38"/>
    <mergeCell ref="A39:F39"/>
    <mergeCell ref="A40:F4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1" sqref="A1:F1"/>
    </sheetView>
  </sheetViews>
  <sheetFormatPr defaultColWidth="8.6796875" defaultRowHeight="16.8" outlineLevelCol="5"/>
  <cols>
    <col min="1" max="1" width="15" customWidth="1"/>
    <col min="2" max="2" width="20" customWidth="1"/>
    <col min="3" max="6" width="15" customWidth="1"/>
  </cols>
  <sheetData>
    <row r="1" ht="21" spans="1:6">
      <c r="A1" s="1" t="s">
        <v>99</v>
      </c>
      <c r="B1" s="1"/>
      <c r="C1" s="1"/>
      <c r="D1" s="1"/>
      <c r="E1" s="1"/>
      <c r="F1" s="1"/>
    </row>
    <row r="2" spans="1:1">
      <c r="A2" s="2" t="s">
        <v>44</v>
      </c>
    </row>
    <row r="4" ht="18" spans="1:6">
      <c r="A4" s="19" t="s">
        <v>100</v>
      </c>
      <c r="B4" s="19"/>
      <c r="C4" s="19"/>
      <c r="D4" s="19"/>
      <c r="E4" s="19"/>
      <c r="F4" s="19"/>
    </row>
    <row r="5" ht="68" spans="1:1">
      <c r="A5" s="20" t="s">
        <v>101</v>
      </c>
    </row>
    <row r="6" ht="68" spans="1:1">
      <c r="A6" s="20" t="s">
        <v>102</v>
      </c>
    </row>
    <row r="7" ht="68" spans="1:1">
      <c r="A7" s="29" t="s">
        <v>103</v>
      </c>
    </row>
    <row r="8" ht="34" spans="1:1">
      <c r="A8" s="20" t="s">
        <v>104</v>
      </c>
    </row>
    <row r="10" ht="17.6" spans="1:6">
      <c r="A10" s="3" t="s">
        <v>50</v>
      </c>
      <c r="B10" s="3"/>
      <c r="C10" s="3"/>
      <c r="D10" s="3"/>
      <c r="E10" s="3"/>
      <c r="F10" s="3"/>
    </row>
    <row r="11" ht="17.6" spans="1:6">
      <c r="A11" s="7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56</v>
      </c>
    </row>
    <row r="12" ht="51" spans="1:6">
      <c r="A12" s="21" t="s">
        <v>57</v>
      </c>
      <c r="B12" s="21" t="s">
        <v>105</v>
      </c>
      <c r="C12" s="12"/>
      <c r="D12" s="22"/>
      <c r="E12" s="12"/>
      <c r="F12" s="12"/>
    </row>
    <row r="13" ht="34" spans="1:6">
      <c r="A13" s="21" t="s">
        <v>57</v>
      </c>
      <c r="B13" s="21" t="s">
        <v>106</v>
      </c>
      <c r="C13" s="12"/>
      <c r="D13" s="22"/>
      <c r="E13" s="12"/>
      <c r="F13" s="12"/>
    </row>
    <row r="14" ht="51" spans="1:6">
      <c r="A14" s="21" t="s">
        <v>60</v>
      </c>
      <c r="B14" s="12" t="s">
        <v>107</v>
      </c>
      <c r="C14" s="12"/>
      <c r="D14" s="22"/>
      <c r="E14" s="12"/>
      <c r="F14" s="12"/>
    </row>
    <row r="15" ht="34" spans="1:6">
      <c r="A15" s="21" t="s">
        <v>60</v>
      </c>
      <c r="B15" s="21" t="s">
        <v>108</v>
      </c>
      <c r="C15" s="12"/>
      <c r="D15" s="22"/>
      <c r="E15" s="12"/>
      <c r="F15" s="12"/>
    </row>
    <row r="16" ht="68" spans="1:6">
      <c r="A16" s="21" t="s">
        <v>63</v>
      </c>
      <c r="B16" s="21" t="s">
        <v>109</v>
      </c>
      <c r="C16" s="12"/>
      <c r="D16" s="22"/>
      <c r="E16" s="12"/>
      <c r="F16" s="12"/>
    </row>
    <row r="17" ht="34" spans="1:6">
      <c r="A17" s="21" t="s">
        <v>63</v>
      </c>
      <c r="B17" s="21" t="s">
        <v>110</v>
      </c>
      <c r="C17" s="12"/>
      <c r="D17" s="22"/>
      <c r="E17" s="12"/>
      <c r="F17" s="12"/>
    </row>
    <row r="18" ht="51" spans="1:6">
      <c r="A18" s="21" t="s">
        <v>66</v>
      </c>
      <c r="B18" s="12" t="s">
        <v>111</v>
      </c>
      <c r="C18" s="12"/>
      <c r="D18" s="22"/>
      <c r="E18" s="12"/>
      <c r="F18" s="12"/>
    </row>
    <row r="19" ht="34" spans="1:6">
      <c r="A19" s="21" t="s">
        <v>66</v>
      </c>
      <c r="B19" s="12" t="s">
        <v>112</v>
      </c>
      <c r="C19" s="12"/>
      <c r="D19" s="22"/>
      <c r="E19" s="12"/>
      <c r="F19" s="12"/>
    </row>
    <row r="20" ht="51" spans="1:6">
      <c r="A20" s="21" t="s">
        <v>69</v>
      </c>
      <c r="B20" s="21" t="s">
        <v>113</v>
      </c>
      <c r="C20" s="12"/>
      <c r="D20" s="22"/>
      <c r="E20" s="12"/>
      <c r="F20" s="12"/>
    </row>
    <row r="21" ht="34" spans="1:6">
      <c r="A21" s="21" t="s">
        <v>69</v>
      </c>
      <c r="B21" s="21" t="s">
        <v>114</v>
      </c>
      <c r="C21" s="12"/>
      <c r="D21" s="22"/>
      <c r="E21" s="12"/>
      <c r="F21" s="12"/>
    </row>
    <row r="23" ht="18" spans="1:6">
      <c r="A23" s="3" t="s">
        <v>72</v>
      </c>
      <c r="B23" s="3"/>
      <c r="C23" s="3"/>
      <c r="D23" s="3"/>
      <c r="E23" s="3"/>
      <c r="F23" s="3"/>
    </row>
    <row r="24" ht="18" spans="1:6">
      <c r="A24" s="23" t="s">
        <v>19</v>
      </c>
      <c r="B24" s="11" t="s">
        <v>20</v>
      </c>
      <c r="C24" s="11" t="s">
        <v>73</v>
      </c>
      <c r="D24" s="11" t="s">
        <v>74</v>
      </c>
      <c r="E24" s="11" t="s">
        <v>75</v>
      </c>
      <c r="F24" s="11" t="s">
        <v>76</v>
      </c>
    </row>
    <row r="25" ht="17" spans="1:6">
      <c r="A25" s="26" t="s">
        <v>77</v>
      </c>
      <c r="B25" s="9" t="s">
        <v>115</v>
      </c>
      <c r="C25" s="9"/>
      <c r="D25" s="25" t="str">
        <f>IF(C25="","",C25/200)</f>
        <v/>
      </c>
      <c r="E25" s="9"/>
      <c r="F25" s="9"/>
    </row>
    <row r="26" spans="1:6">
      <c r="A26" s="26" t="s">
        <v>79</v>
      </c>
      <c r="B26" s="9" t="s">
        <v>116</v>
      </c>
      <c r="C26" s="9"/>
      <c r="D26" s="9" t="str">
        <f>IF(C26="","",IF(C26&gt;0.03,"✅提升","需持续优化"))</f>
        <v/>
      </c>
      <c r="E26" s="9"/>
      <c r="F26" s="9"/>
    </row>
    <row r="27" spans="1:6">
      <c r="A27" s="24" t="s">
        <v>27</v>
      </c>
      <c r="B27" s="9" t="s">
        <v>117</v>
      </c>
      <c r="C27" s="9"/>
      <c r="D27" s="25" t="str">
        <f>IF(C27="","",C27/250)</f>
        <v/>
      </c>
      <c r="E27" s="9"/>
      <c r="F27" s="9"/>
    </row>
    <row r="28" ht="17" spans="1:6">
      <c r="A28" s="24" t="s">
        <v>29</v>
      </c>
      <c r="B28" s="9" t="s">
        <v>118</v>
      </c>
      <c r="C28" s="9"/>
      <c r="D28" s="9" t="str">
        <f>IF(C28="","",IF(C28&gt;=3,"✅达标","❌未达标"))</f>
        <v/>
      </c>
      <c r="E28" s="9"/>
      <c r="F28" s="9"/>
    </row>
    <row r="29" ht="17" spans="1:6">
      <c r="A29" s="26" t="s">
        <v>31</v>
      </c>
      <c r="B29" s="9" t="s">
        <v>119</v>
      </c>
      <c r="C29" s="9"/>
      <c r="D29" s="9"/>
      <c r="E29" s="9"/>
      <c r="F29" s="9"/>
    </row>
    <row r="30" ht="17" spans="1:6">
      <c r="A30" s="26" t="s">
        <v>87</v>
      </c>
      <c r="B30" s="9" t="s">
        <v>120</v>
      </c>
      <c r="C30" s="9"/>
      <c r="D30" s="25" t="str">
        <f>IF(C30="","",C30/100)</f>
        <v/>
      </c>
      <c r="E30" s="9"/>
      <c r="F30" s="9"/>
    </row>
    <row r="31" ht="17" spans="1:6">
      <c r="A31" s="24" t="s">
        <v>121</v>
      </c>
      <c r="B31" s="9" t="s">
        <v>122</v>
      </c>
      <c r="C31" s="9"/>
      <c r="D31" s="9" t="str">
        <f>IF(C31="","",IF(C31&gt;=1,"✅完成","❌未完成"))</f>
        <v/>
      </c>
      <c r="E31" s="9"/>
      <c r="F31" s="9"/>
    </row>
    <row r="32" ht="17" spans="1:6">
      <c r="A32" s="24" t="s">
        <v>123</v>
      </c>
      <c r="B32" s="31" t="s">
        <v>124</v>
      </c>
      <c r="C32" s="9"/>
      <c r="D32" s="9"/>
      <c r="E32" s="9"/>
      <c r="F32" s="9"/>
    </row>
    <row r="33" ht="17" spans="1:6">
      <c r="A33" s="24" t="s">
        <v>125</v>
      </c>
      <c r="B33" s="9" t="s">
        <v>126</v>
      </c>
      <c r="C33" s="9"/>
      <c r="D33" s="9" t="str">
        <f>IF(C33="","",IF(C33&lt;=400,"✅预算内","⚠️超预算"))</f>
        <v/>
      </c>
      <c r="E33" s="9"/>
      <c r="F33" s="9"/>
    </row>
    <row r="35" ht="17.6" spans="1:6">
      <c r="A35" s="30" t="s">
        <v>93</v>
      </c>
      <c r="B35" s="30"/>
      <c r="C35" s="30"/>
      <c r="D35" s="30"/>
      <c r="E35" s="30"/>
      <c r="F35" s="30"/>
    </row>
    <row r="36" ht="17.15" customHeight="1" spans="1:6">
      <c r="A36" s="28" t="s">
        <v>127</v>
      </c>
      <c r="B36" s="28"/>
      <c r="C36" s="28"/>
      <c r="D36" s="28"/>
      <c r="E36" s="28"/>
      <c r="F36" s="28"/>
    </row>
    <row r="37" ht="17.15" customHeight="1" spans="1:6">
      <c r="A37" s="28" t="s">
        <v>128</v>
      </c>
      <c r="B37" s="28"/>
      <c r="C37" s="28"/>
      <c r="D37" s="28"/>
      <c r="E37" s="28"/>
      <c r="F37" s="28"/>
    </row>
    <row r="38" ht="17.15" customHeight="1" spans="1:6">
      <c r="A38" s="28" t="s">
        <v>129</v>
      </c>
      <c r="B38" s="28"/>
      <c r="C38" s="28"/>
      <c r="D38" s="28"/>
      <c r="E38" s="28"/>
      <c r="F38" s="28"/>
    </row>
    <row r="39" ht="17.15" customHeight="1" spans="1:6">
      <c r="A39" s="28" t="s">
        <v>130</v>
      </c>
      <c r="B39" s="28"/>
      <c r="C39" s="28"/>
      <c r="D39" s="28"/>
      <c r="E39" s="28"/>
      <c r="F39" s="28"/>
    </row>
    <row r="40" ht="17.15" customHeight="1" spans="1:6">
      <c r="A40" s="28" t="s">
        <v>131</v>
      </c>
      <c r="B40" s="28"/>
      <c r="C40" s="28"/>
      <c r="D40" s="28"/>
      <c r="E40" s="28"/>
      <c r="F40" s="28"/>
    </row>
  </sheetData>
  <mergeCells count="10">
    <mergeCell ref="A1:F1"/>
    <mergeCell ref="A4:F4"/>
    <mergeCell ref="A10:F10"/>
    <mergeCell ref="A23:F23"/>
    <mergeCell ref="A35:F35"/>
    <mergeCell ref="A36:F36"/>
    <mergeCell ref="A37:F37"/>
    <mergeCell ref="A38:F38"/>
    <mergeCell ref="A39:F39"/>
    <mergeCell ref="A40:F4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1" sqref="A1:F1"/>
    </sheetView>
  </sheetViews>
  <sheetFormatPr defaultColWidth="8.6796875" defaultRowHeight="16.8" outlineLevelCol="5"/>
  <cols>
    <col min="1" max="1" width="15" customWidth="1"/>
    <col min="2" max="2" width="20" customWidth="1"/>
    <col min="3" max="6" width="15" customWidth="1"/>
  </cols>
  <sheetData>
    <row r="1" ht="21" spans="1:6">
      <c r="A1" s="1" t="s">
        <v>132</v>
      </c>
      <c r="B1" s="1"/>
      <c r="C1" s="1"/>
      <c r="D1" s="1"/>
      <c r="E1" s="1"/>
      <c r="F1" s="1"/>
    </row>
    <row r="2" spans="1:1">
      <c r="A2" s="2" t="s">
        <v>44</v>
      </c>
    </row>
    <row r="4" ht="17.6" spans="1:6">
      <c r="A4" s="19" t="s">
        <v>45</v>
      </c>
      <c r="B4" s="19"/>
      <c r="C4" s="19"/>
      <c r="D4" s="19"/>
      <c r="E4" s="19"/>
      <c r="F4" s="19"/>
    </row>
    <row r="5" ht="51" spans="1:1">
      <c r="A5" s="20" t="s">
        <v>133</v>
      </c>
    </row>
    <row r="6" ht="51" spans="1:1">
      <c r="A6" s="20" t="s">
        <v>134</v>
      </c>
    </row>
    <row r="7" ht="51" spans="1:1">
      <c r="A7" s="20" t="s">
        <v>135</v>
      </c>
    </row>
    <row r="8" ht="51" spans="1:1">
      <c r="A8" s="29" t="s">
        <v>136</v>
      </c>
    </row>
    <row r="10" ht="17.6" spans="1:6">
      <c r="A10" s="3" t="s">
        <v>50</v>
      </c>
      <c r="B10" s="3"/>
      <c r="C10" s="3"/>
      <c r="D10" s="3"/>
      <c r="E10" s="3"/>
      <c r="F10" s="3"/>
    </row>
    <row r="11" ht="17.6" spans="1:6">
      <c r="A11" s="7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56</v>
      </c>
    </row>
    <row r="12" ht="68" spans="1:6">
      <c r="A12" s="21" t="s">
        <v>57</v>
      </c>
      <c r="B12" s="21" t="s">
        <v>137</v>
      </c>
      <c r="C12" s="12"/>
      <c r="D12" s="22"/>
      <c r="E12" s="12"/>
      <c r="F12" s="12"/>
    </row>
    <row r="13" ht="68" spans="1:6">
      <c r="A13" s="21" t="s">
        <v>57</v>
      </c>
      <c r="B13" s="21" t="s">
        <v>138</v>
      </c>
      <c r="C13" s="12"/>
      <c r="D13" s="22"/>
      <c r="E13" s="12"/>
      <c r="F13" s="12"/>
    </row>
    <row r="14" ht="51" spans="1:6">
      <c r="A14" s="21" t="s">
        <v>60</v>
      </c>
      <c r="B14" s="21" t="s">
        <v>139</v>
      </c>
      <c r="C14" s="12"/>
      <c r="D14" s="22"/>
      <c r="E14" s="12"/>
      <c r="F14" s="12"/>
    </row>
    <row r="15" ht="34" spans="1:6">
      <c r="A15" s="21" t="s">
        <v>60</v>
      </c>
      <c r="B15" s="21" t="s">
        <v>140</v>
      </c>
      <c r="C15" s="12"/>
      <c r="D15" s="22"/>
      <c r="E15" s="12"/>
      <c r="F15" s="12"/>
    </row>
    <row r="16" ht="34" spans="1:6">
      <c r="A16" s="21" t="s">
        <v>63</v>
      </c>
      <c r="B16" s="21" t="s">
        <v>141</v>
      </c>
      <c r="C16" s="12"/>
      <c r="D16" s="22"/>
      <c r="E16" s="12"/>
      <c r="F16" s="12"/>
    </row>
    <row r="17" ht="34" spans="1:6">
      <c r="A17" s="21" t="s">
        <v>63</v>
      </c>
      <c r="B17" s="21" t="s">
        <v>142</v>
      </c>
      <c r="C17" s="12"/>
      <c r="D17" s="22"/>
      <c r="E17" s="12"/>
      <c r="F17" s="12"/>
    </row>
    <row r="18" ht="51" spans="1:6">
      <c r="A18" s="21" t="s">
        <v>66</v>
      </c>
      <c r="B18" s="21" t="s">
        <v>143</v>
      </c>
      <c r="C18" s="12"/>
      <c r="D18" s="22"/>
      <c r="E18" s="12"/>
      <c r="F18" s="12"/>
    </row>
    <row r="19" ht="34" spans="1:6">
      <c r="A19" s="21" t="s">
        <v>66</v>
      </c>
      <c r="B19" s="12" t="s">
        <v>144</v>
      </c>
      <c r="C19" s="12"/>
      <c r="D19" s="22"/>
      <c r="E19" s="12"/>
      <c r="F19" s="12"/>
    </row>
    <row r="20" ht="51" spans="1:6">
      <c r="A20" s="21" t="s">
        <v>69</v>
      </c>
      <c r="B20" s="21" t="s">
        <v>145</v>
      </c>
      <c r="C20" s="12"/>
      <c r="D20" s="22"/>
      <c r="E20" s="12"/>
      <c r="F20" s="12"/>
    </row>
    <row r="21" ht="34" spans="1:6">
      <c r="A21" s="21" t="s">
        <v>69</v>
      </c>
      <c r="B21" s="21" t="s">
        <v>146</v>
      </c>
      <c r="C21" s="12"/>
      <c r="D21" s="22"/>
      <c r="E21" s="12"/>
      <c r="F21" s="12"/>
    </row>
    <row r="23" ht="18" spans="1:6">
      <c r="A23" s="3" t="s">
        <v>72</v>
      </c>
      <c r="B23" s="3"/>
      <c r="C23" s="3"/>
      <c r="D23" s="3"/>
      <c r="E23" s="3"/>
      <c r="F23" s="3"/>
    </row>
    <row r="24" ht="18" spans="1:6">
      <c r="A24" s="23" t="s">
        <v>19</v>
      </c>
      <c r="B24" s="11" t="s">
        <v>20</v>
      </c>
      <c r="C24" s="11" t="s">
        <v>73</v>
      </c>
      <c r="D24" s="11" t="s">
        <v>74</v>
      </c>
      <c r="E24" s="11" t="s">
        <v>75</v>
      </c>
      <c r="F24" s="11" t="s">
        <v>76</v>
      </c>
    </row>
    <row r="25" ht="17" spans="1:6">
      <c r="A25" s="24" t="s">
        <v>147</v>
      </c>
      <c r="B25" s="9" t="s">
        <v>148</v>
      </c>
      <c r="C25" s="9"/>
      <c r="D25" s="9" t="str">
        <f>IF(C25="","",IF(C25&gt;=2,"✅达标","❌未达标"))</f>
        <v/>
      </c>
      <c r="E25" s="9"/>
      <c r="F25" s="9"/>
    </row>
    <row r="26" ht="17" spans="1:6">
      <c r="A26" s="24" t="s">
        <v>149</v>
      </c>
      <c r="B26" s="9" t="s">
        <v>150</v>
      </c>
      <c r="C26" s="9"/>
      <c r="D26" s="9" t="str">
        <f>IF(C26="","",IF(C26&gt;=1,"✅完成","❌未完成"))</f>
        <v/>
      </c>
      <c r="E26" s="9"/>
      <c r="F26" s="9"/>
    </row>
    <row r="27" spans="1:6">
      <c r="A27" s="24" t="s">
        <v>151</v>
      </c>
      <c r="B27" s="9" t="s">
        <v>88</v>
      </c>
      <c r="C27" s="9"/>
      <c r="D27" s="25" t="str">
        <f>IF(C27="","",C27/50)</f>
        <v/>
      </c>
      <c r="E27" s="9"/>
      <c r="F27" s="9"/>
    </row>
    <row r="28" ht="17" spans="1:6">
      <c r="A28" s="24" t="s">
        <v>29</v>
      </c>
      <c r="B28" s="9" t="s">
        <v>152</v>
      </c>
      <c r="C28" s="9"/>
      <c r="D28" s="9" t="str">
        <f>IF(C28="","",IF(C28&gt;=5,"✅增长","❌未增长"))</f>
        <v/>
      </c>
      <c r="E28" s="9"/>
      <c r="F28" s="9"/>
    </row>
    <row r="29" ht="17" spans="1:6">
      <c r="A29" s="26" t="s">
        <v>31</v>
      </c>
      <c r="B29" s="9" t="s">
        <v>153</v>
      </c>
      <c r="C29" s="9"/>
      <c r="D29" s="9"/>
      <c r="E29" s="9"/>
      <c r="F29" s="9"/>
    </row>
    <row r="30" ht="17" spans="1:6">
      <c r="A30" s="26" t="s">
        <v>87</v>
      </c>
      <c r="B30" s="9" t="s">
        <v>81</v>
      </c>
      <c r="C30" s="9"/>
      <c r="D30" s="25" t="str">
        <f>IF(C30="","",C30/150)</f>
        <v/>
      </c>
      <c r="E30" s="9"/>
      <c r="F30" s="9"/>
    </row>
    <row r="31" ht="17" spans="1:6">
      <c r="A31" s="24" t="s">
        <v>154</v>
      </c>
      <c r="B31" s="9" t="s">
        <v>155</v>
      </c>
      <c r="C31" s="9"/>
      <c r="D31" s="9" t="str">
        <f>IF(C31="","",IF(C31&gt;=3,"✅完成","❌未完成"))</f>
        <v/>
      </c>
      <c r="E31" s="9"/>
      <c r="F31" s="9"/>
    </row>
    <row r="32" ht="17" spans="1:6">
      <c r="A32" s="24" t="s">
        <v>156</v>
      </c>
      <c r="B32" s="9" t="s">
        <v>157</v>
      </c>
      <c r="C32" s="9"/>
      <c r="D32" s="9"/>
      <c r="E32" s="9"/>
      <c r="F32" s="9"/>
    </row>
    <row r="33" spans="1:6">
      <c r="A33" s="24" t="s">
        <v>158</v>
      </c>
      <c r="B33" s="9" t="s">
        <v>159</v>
      </c>
      <c r="C33" s="9"/>
      <c r="D33" s="9" t="str">
        <f>IF(C33="","",IF(C33&gt;0.2,"✅正常","⚠️需优化"))</f>
        <v/>
      </c>
      <c r="E33" s="9"/>
      <c r="F33" s="9"/>
    </row>
    <row r="35" ht="17.6" spans="1:6">
      <c r="A35" s="30" t="s">
        <v>93</v>
      </c>
      <c r="B35" s="30"/>
      <c r="C35" s="30"/>
      <c r="D35" s="30"/>
      <c r="E35" s="30"/>
      <c r="F35" s="30"/>
    </row>
    <row r="36" ht="17.15" customHeight="1" spans="1:6">
      <c r="A36" s="28" t="s">
        <v>160</v>
      </c>
      <c r="B36" s="28"/>
      <c r="C36" s="28"/>
      <c r="D36" s="28"/>
      <c r="E36" s="28"/>
      <c r="F36" s="28"/>
    </row>
    <row r="37" ht="17.15" customHeight="1" spans="1:6">
      <c r="A37" s="28" t="s">
        <v>161</v>
      </c>
      <c r="B37" s="28"/>
      <c r="C37" s="28"/>
      <c r="D37" s="28"/>
      <c r="E37" s="28"/>
      <c r="F37" s="28"/>
    </row>
    <row r="38" ht="17.15" customHeight="1" spans="1:6">
      <c r="A38" s="28" t="s">
        <v>162</v>
      </c>
      <c r="B38" s="28"/>
      <c r="C38" s="28"/>
      <c r="D38" s="28"/>
      <c r="E38" s="28"/>
      <c r="F38" s="28"/>
    </row>
    <row r="39" ht="17.15" customHeight="1" spans="1:6">
      <c r="A39" s="28" t="s">
        <v>163</v>
      </c>
      <c r="B39" s="28"/>
      <c r="C39" s="28"/>
      <c r="D39" s="28"/>
      <c r="E39" s="28"/>
      <c r="F39" s="28"/>
    </row>
    <row r="40" ht="17.15" customHeight="1" spans="1:6">
      <c r="A40" s="28" t="s">
        <v>164</v>
      </c>
      <c r="B40" s="28"/>
      <c r="C40" s="28"/>
      <c r="D40" s="28"/>
      <c r="E40" s="28"/>
      <c r="F40" s="28"/>
    </row>
  </sheetData>
  <mergeCells count="10">
    <mergeCell ref="A1:F1"/>
    <mergeCell ref="A4:F4"/>
    <mergeCell ref="A10:F10"/>
    <mergeCell ref="A23:F23"/>
    <mergeCell ref="A35:F35"/>
    <mergeCell ref="A36:F36"/>
    <mergeCell ref="A37:F37"/>
    <mergeCell ref="A38:F38"/>
    <mergeCell ref="A39:F39"/>
    <mergeCell ref="A40:F4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1" sqref="A1:F1"/>
    </sheetView>
  </sheetViews>
  <sheetFormatPr defaultColWidth="8.6796875" defaultRowHeight="16.8" outlineLevelCol="5"/>
  <cols>
    <col min="1" max="1" width="15" customWidth="1"/>
    <col min="2" max="2" width="20" customWidth="1"/>
    <col min="3" max="6" width="15" customWidth="1"/>
  </cols>
  <sheetData>
    <row r="1" ht="21" spans="1:6">
      <c r="A1" s="1" t="s">
        <v>165</v>
      </c>
      <c r="B1" s="1"/>
      <c r="C1" s="1"/>
      <c r="D1" s="1"/>
      <c r="E1" s="1"/>
      <c r="F1" s="1"/>
    </row>
    <row r="2" spans="1:1">
      <c r="A2" s="2" t="s">
        <v>44</v>
      </c>
    </row>
    <row r="4" ht="17.6" spans="1:6">
      <c r="A4" s="19" t="s">
        <v>45</v>
      </c>
      <c r="B4" s="19"/>
      <c r="C4" s="19"/>
      <c r="D4" s="19"/>
      <c r="E4" s="19"/>
      <c r="F4" s="19"/>
    </row>
    <row r="5" ht="51" spans="1:1">
      <c r="A5" s="20" t="s">
        <v>166</v>
      </c>
    </row>
    <row r="6" ht="51" spans="1:1">
      <c r="A6" s="20" t="s">
        <v>167</v>
      </c>
    </row>
    <row r="7" ht="51" spans="1:1">
      <c r="A7" s="20" t="s">
        <v>168</v>
      </c>
    </row>
    <row r="8" ht="34" spans="1:1">
      <c r="A8" s="20" t="s">
        <v>169</v>
      </c>
    </row>
    <row r="10" ht="17.6" spans="1:6">
      <c r="A10" s="3" t="s">
        <v>50</v>
      </c>
      <c r="B10" s="3"/>
      <c r="C10" s="3"/>
      <c r="D10" s="3"/>
      <c r="E10" s="3"/>
      <c r="F10" s="3"/>
    </row>
    <row r="11" ht="17.6" spans="1:6">
      <c r="A11" s="7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56</v>
      </c>
    </row>
    <row r="12" ht="51" spans="1:6">
      <c r="A12" s="21" t="s">
        <v>57</v>
      </c>
      <c r="B12" s="21" t="s">
        <v>170</v>
      </c>
      <c r="C12" s="12"/>
      <c r="D12" s="22"/>
      <c r="E12" s="12"/>
      <c r="F12" s="12"/>
    </row>
    <row r="13" ht="51" spans="1:6">
      <c r="A13" s="21" t="s">
        <v>57</v>
      </c>
      <c r="B13" s="21" t="s">
        <v>171</v>
      </c>
      <c r="C13" s="12"/>
      <c r="D13" s="22"/>
      <c r="E13" s="12"/>
      <c r="F13" s="12"/>
    </row>
    <row r="14" ht="68" spans="1:6">
      <c r="A14" s="21" t="s">
        <v>60</v>
      </c>
      <c r="B14" s="12" t="s">
        <v>172</v>
      </c>
      <c r="C14" s="12"/>
      <c r="D14" s="22"/>
      <c r="E14" s="12"/>
      <c r="F14" s="12"/>
    </row>
    <row r="15" ht="34" spans="1:6">
      <c r="A15" s="21" t="s">
        <v>60</v>
      </c>
      <c r="B15" s="21" t="s">
        <v>173</v>
      </c>
      <c r="C15" s="12"/>
      <c r="D15" s="22"/>
      <c r="E15" s="12"/>
      <c r="F15" s="12"/>
    </row>
    <row r="16" ht="34" spans="1:6">
      <c r="A16" s="21" t="s">
        <v>63</v>
      </c>
      <c r="B16" s="21" t="s">
        <v>174</v>
      </c>
      <c r="C16" s="12"/>
      <c r="D16" s="22"/>
      <c r="E16" s="12"/>
      <c r="F16" s="12"/>
    </row>
    <row r="17" ht="17" spans="1:6">
      <c r="A17" s="21" t="s">
        <v>63</v>
      </c>
      <c r="B17" s="21" t="s">
        <v>175</v>
      </c>
      <c r="C17" s="12"/>
      <c r="D17" s="22"/>
      <c r="E17" s="12"/>
      <c r="F17" s="12"/>
    </row>
    <row r="18" ht="68" spans="1:6">
      <c r="A18" s="21" t="s">
        <v>66</v>
      </c>
      <c r="B18" s="21" t="s">
        <v>176</v>
      </c>
      <c r="C18" s="12"/>
      <c r="D18" s="22"/>
      <c r="E18" s="12"/>
      <c r="F18" s="12"/>
    </row>
    <row r="19" ht="68" spans="1:6">
      <c r="A19" s="21" t="s">
        <v>66</v>
      </c>
      <c r="B19" s="12" t="s">
        <v>177</v>
      </c>
      <c r="C19" s="12"/>
      <c r="D19" s="22"/>
      <c r="E19" s="12"/>
      <c r="F19" s="12"/>
    </row>
    <row r="20" ht="34" spans="1:6">
      <c r="A20" s="21" t="s">
        <v>69</v>
      </c>
      <c r="B20" s="21" t="s">
        <v>178</v>
      </c>
      <c r="C20" s="12"/>
      <c r="D20" s="22"/>
      <c r="E20" s="12"/>
      <c r="F20" s="12"/>
    </row>
    <row r="21" ht="34" spans="1:6">
      <c r="A21" s="21" t="s">
        <v>69</v>
      </c>
      <c r="B21" s="12" t="s">
        <v>179</v>
      </c>
      <c r="C21" s="12"/>
      <c r="D21" s="22"/>
      <c r="E21" s="12"/>
      <c r="F21" s="12"/>
    </row>
    <row r="23" ht="18" spans="1:6">
      <c r="A23" s="3" t="s">
        <v>72</v>
      </c>
      <c r="B23" s="3"/>
      <c r="C23" s="3"/>
      <c r="D23" s="3"/>
      <c r="E23" s="3"/>
      <c r="F23" s="3"/>
    </row>
    <row r="24" ht="18" spans="1:6">
      <c r="A24" s="23" t="s">
        <v>19</v>
      </c>
      <c r="B24" s="11" t="s">
        <v>20</v>
      </c>
      <c r="C24" s="11" t="s">
        <v>73</v>
      </c>
      <c r="D24" s="11" t="s">
        <v>74</v>
      </c>
      <c r="E24" s="11" t="s">
        <v>75</v>
      </c>
      <c r="F24" s="11" t="s">
        <v>76</v>
      </c>
    </row>
    <row r="25" ht="17" spans="1:6">
      <c r="A25" s="24" t="s">
        <v>180</v>
      </c>
      <c r="B25" s="9" t="s">
        <v>181</v>
      </c>
      <c r="C25" s="9"/>
      <c r="D25" s="25" t="str">
        <f>IF(C25="","",C25/100)</f>
        <v/>
      </c>
      <c r="E25" s="9"/>
      <c r="F25" s="9"/>
    </row>
    <row r="26" ht="17" spans="1:6">
      <c r="A26" s="24" t="s">
        <v>182</v>
      </c>
      <c r="B26" s="9" t="s">
        <v>183</v>
      </c>
      <c r="C26" s="9"/>
      <c r="D26" s="9" t="str">
        <f>IF(C26="","",IF(C26&gt;=5,"✅正常","⚠️偏低"))</f>
        <v/>
      </c>
      <c r="E26" s="9"/>
      <c r="F26" s="9"/>
    </row>
    <row r="27" ht="17" spans="1:6">
      <c r="A27" s="24" t="s">
        <v>184</v>
      </c>
      <c r="B27" s="9" t="s">
        <v>118</v>
      </c>
      <c r="C27" s="9"/>
      <c r="D27" s="9"/>
      <c r="E27" s="9"/>
      <c r="F27" s="9"/>
    </row>
    <row r="28" ht="17" spans="1:6">
      <c r="A28" s="24" t="s">
        <v>185</v>
      </c>
      <c r="B28" s="9" t="s">
        <v>119</v>
      </c>
      <c r="C28" s="9"/>
      <c r="D28" s="9" t="str">
        <f>IF(C28="","",IF(C28&gt;=1,"✅达标","❌未达标"))</f>
        <v/>
      </c>
      <c r="E28" s="9"/>
      <c r="F28" s="9"/>
    </row>
    <row r="29" ht="17" spans="1:6">
      <c r="A29" s="24" t="s">
        <v>186</v>
      </c>
      <c r="B29" s="9" t="s">
        <v>187</v>
      </c>
      <c r="C29" s="9"/>
      <c r="D29" s="9" t="str">
        <f>IF(C29="","",IF(C29&gt;=8,"✅达标","❌未达标"))</f>
        <v/>
      </c>
      <c r="E29" s="9"/>
      <c r="F29" s="9"/>
    </row>
    <row r="30" ht="17" spans="1:6">
      <c r="A30" s="26" t="s">
        <v>31</v>
      </c>
      <c r="B30" s="9" t="s">
        <v>118</v>
      </c>
      <c r="C30" s="9"/>
      <c r="D30" s="9"/>
      <c r="E30" s="9"/>
      <c r="F30" s="9"/>
    </row>
    <row r="31" ht="17" spans="1:6">
      <c r="A31" s="26" t="s">
        <v>188</v>
      </c>
      <c r="B31" s="9" t="s">
        <v>189</v>
      </c>
      <c r="C31" s="9"/>
      <c r="D31" s="25" t="str">
        <f>IF(C31="","",C31/500)</f>
        <v/>
      </c>
      <c r="E31" s="9"/>
      <c r="F31" s="9"/>
    </row>
    <row r="32" spans="1:6">
      <c r="A32" s="24" t="s">
        <v>190</v>
      </c>
      <c r="B32" s="9" t="s">
        <v>189</v>
      </c>
      <c r="C32" s="9"/>
      <c r="D32" s="9"/>
      <c r="E32" s="9"/>
      <c r="F32" s="9"/>
    </row>
    <row r="33" ht="17" spans="1:6">
      <c r="A33" s="26" t="s">
        <v>191</v>
      </c>
      <c r="B33" s="9" t="s">
        <v>192</v>
      </c>
      <c r="C33" s="9"/>
      <c r="D33" s="9" t="str">
        <f>IF(C33="","",IF(C33&lt;=2000,"✅预算内","⚠️超预算"))</f>
        <v/>
      </c>
      <c r="E33" s="9"/>
      <c r="F33" s="9"/>
    </row>
    <row r="35" ht="18" spans="1:6">
      <c r="A35" s="27" t="s">
        <v>193</v>
      </c>
      <c r="B35" s="27"/>
      <c r="C35" s="27"/>
      <c r="D35" s="27"/>
      <c r="E35" s="27"/>
      <c r="F35" s="27"/>
    </row>
    <row r="36" ht="17.15" customHeight="1" spans="1:6">
      <c r="A36" s="28" t="s">
        <v>194</v>
      </c>
      <c r="B36" s="28"/>
      <c r="C36" s="28"/>
      <c r="D36" s="28"/>
      <c r="E36" s="28"/>
      <c r="F36" s="28"/>
    </row>
    <row r="37" ht="17.15" customHeight="1" spans="1:6">
      <c r="A37" s="28" t="s">
        <v>195</v>
      </c>
      <c r="B37" s="28"/>
      <c r="C37" s="28"/>
      <c r="D37" s="28"/>
      <c r="E37" s="28"/>
      <c r="F37" s="28"/>
    </row>
    <row r="38" ht="17.15" customHeight="1" spans="1:6">
      <c r="A38" s="28" t="s">
        <v>196</v>
      </c>
      <c r="B38" s="28"/>
      <c r="C38" s="28"/>
      <c r="D38" s="28"/>
      <c r="E38" s="28"/>
      <c r="F38" s="28"/>
    </row>
    <row r="39" ht="17.15" customHeight="1" spans="1:6">
      <c r="A39" s="28" t="s">
        <v>197</v>
      </c>
      <c r="B39" s="28"/>
      <c r="C39" s="28"/>
      <c r="D39" s="28"/>
      <c r="E39" s="28"/>
      <c r="F39" s="28"/>
    </row>
    <row r="40" ht="17.15" customHeight="1" spans="1:6">
      <c r="A40" s="28" t="s">
        <v>198</v>
      </c>
      <c r="B40" s="28"/>
      <c r="C40" s="28"/>
      <c r="D40" s="28"/>
      <c r="E40" s="28"/>
      <c r="F40" s="28"/>
    </row>
  </sheetData>
  <mergeCells count="10">
    <mergeCell ref="A1:F1"/>
    <mergeCell ref="A4:F4"/>
    <mergeCell ref="A10:F10"/>
    <mergeCell ref="A23:F23"/>
    <mergeCell ref="A35:F35"/>
    <mergeCell ref="A36:F36"/>
    <mergeCell ref="A37:F37"/>
    <mergeCell ref="A38:F38"/>
    <mergeCell ref="A39:F39"/>
    <mergeCell ref="A40:F4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A1" sqref="A1:F1"/>
    </sheetView>
  </sheetViews>
  <sheetFormatPr defaultColWidth="8.6796875" defaultRowHeight="16.8" outlineLevelCol="5"/>
  <cols>
    <col min="1" max="2" width="18" customWidth="1"/>
    <col min="3" max="6" width="15" customWidth="1"/>
  </cols>
  <sheetData>
    <row r="1" ht="21" spans="1:6">
      <c r="A1" s="1" t="s">
        <v>199</v>
      </c>
      <c r="B1" s="1"/>
      <c r="C1" s="1"/>
      <c r="D1" s="1"/>
      <c r="E1" s="1"/>
      <c r="F1" s="1"/>
    </row>
    <row r="3" spans="1:1">
      <c r="A3" s="2" t="s">
        <v>200</v>
      </c>
    </row>
    <row r="4" spans="1:1">
      <c r="A4" s="2" t="s">
        <v>201</v>
      </c>
    </row>
    <row r="6" ht="17.6" spans="1:6">
      <c r="A6" s="3" t="s">
        <v>202</v>
      </c>
      <c r="B6" s="3"/>
      <c r="C6" s="3"/>
      <c r="D6" s="3"/>
      <c r="E6" s="3"/>
      <c r="F6" s="3"/>
    </row>
    <row r="7" spans="1:6">
      <c r="A7" s="4" t="s">
        <v>203</v>
      </c>
      <c r="B7" s="4"/>
      <c r="C7" s="4"/>
      <c r="D7" s="4"/>
      <c r="E7" s="4"/>
      <c r="F7" s="4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2" ht="17.6" spans="1:6">
      <c r="A12" s="3" t="s">
        <v>204</v>
      </c>
      <c r="B12" s="3"/>
      <c r="C12" s="3"/>
      <c r="D12" s="3"/>
      <c r="E12" s="3"/>
      <c r="F12" s="3"/>
    </row>
    <row r="13" ht="18" spans="1:6">
      <c r="A13" s="6" t="s">
        <v>19</v>
      </c>
      <c r="B13" s="7" t="s">
        <v>20</v>
      </c>
      <c r="C13" s="7" t="s">
        <v>73</v>
      </c>
      <c r="D13" s="7" t="s">
        <v>74</v>
      </c>
      <c r="E13" s="6" t="s">
        <v>205</v>
      </c>
      <c r="F13" s="7" t="s">
        <v>206</v>
      </c>
    </row>
    <row r="14" spans="1:6">
      <c r="A14" s="8"/>
      <c r="B14" s="9"/>
      <c r="C14" s="9"/>
      <c r="D14" s="9"/>
      <c r="E14" s="18"/>
      <c r="F14" s="9"/>
    </row>
    <row r="15" spans="1:6">
      <c r="A15" s="8"/>
      <c r="B15" s="9"/>
      <c r="C15" s="9"/>
      <c r="D15" s="9"/>
      <c r="E15" s="18"/>
      <c r="F15" s="9"/>
    </row>
    <row r="16" spans="1:6">
      <c r="A16" s="8"/>
      <c r="B16" s="9"/>
      <c r="C16" s="9"/>
      <c r="D16" s="9"/>
      <c r="E16" s="18"/>
      <c r="F16" s="9"/>
    </row>
    <row r="17" spans="1:6">
      <c r="A17" s="8"/>
      <c r="B17" s="9"/>
      <c r="C17" s="9"/>
      <c r="D17" s="9"/>
      <c r="E17" s="18"/>
      <c r="F17" s="9"/>
    </row>
    <row r="18" spans="1:6">
      <c r="A18" s="8"/>
      <c r="B18" s="9"/>
      <c r="C18" s="9"/>
      <c r="D18" s="9"/>
      <c r="E18" s="18"/>
      <c r="F18" s="9"/>
    </row>
    <row r="19" spans="1:6">
      <c r="A19" s="8"/>
      <c r="B19" s="9"/>
      <c r="C19" s="9"/>
      <c r="D19" s="9"/>
      <c r="E19" s="18"/>
      <c r="F19" s="9"/>
    </row>
    <row r="20" spans="1:6">
      <c r="A20" s="8"/>
      <c r="B20" s="9"/>
      <c r="C20" s="9"/>
      <c r="D20" s="9"/>
      <c r="E20" s="18"/>
      <c r="F20" s="9"/>
    </row>
    <row r="21" spans="1:6">
      <c r="A21" s="8"/>
      <c r="B21" s="9"/>
      <c r="C21" s="9"/>
      <c r="D21" s="9"/>
      <c r="E21" s="18"/>
      <c r="F21" s="9"/>
    </row>
    <row r="23" ht="18" spans="1:6">
      <c r="A23" s="3" t="s">
        <v>207</v>
      </c>
      <c r="B23" s="3"/>
      <c r="C23" s="3"/>
      <c r="D23" s="3"/>
      <c r="E23" s="3"/>
      <c r="F23" s="3"/>
    </row>
    <row r="24" ht="30" customHeight="1" spans="1:6">
      <c r="A24" t="s">
        <v>208</v>
      </c>
      <c r="B24" s="10"/>
      <c r="C24" s="10"/>
      <c r="D24" s="10"/>
      <c r="E24" s="10"/>
      <c r="F24" s="10"/>
    </row>
    <row r="25" ht="30" customHeight="1" spans="1:6">
      <c r="A25" t="s">
        <v>209</v>
      </c>
      <c r="B25" s="10"/>
      <c r="C25" s="10"/>
      <c r="D25" s="10"/>
      <c r="E25" s="10"/>
      <c r="F25" s="10"/>
    </row>
    <row r="26" ht="30" customHeight="1" spans="1:6">
      <c r="A26" t="s">
        <v>210</v>
      </c>
      <c r="B26" s="10"/>
      <c r="C26" s="10"/>
      <c r="D26" s="10"/>
      <c r="E26" s="10"/>
      <c r="F26" s="10"/>
    </row>
    <row r="28" ht="17.6" spans="1:6">
      <c r="A28" s="3" t="s">
        <v>211</v>
      </c>
      <c r="B28" s="3"/>
      <c r="C28" s="3"/>
      <c r="D28" s="3"/>
      <c r="E28" s="3"/>
      <c r="F28" s="3"/>
    </row>
    <row r="29" ht="17.6" spans="1:6">
      <c r="A29" s="11" t="s">
        <v>212</v>
      </c>
      <c r="B29" s="11" t="s">
        <v>213</v>
      </c>
      <c r="C29" s="11" t="s">
        <v>214</v>
      </c>
      <c r="D29" s="11" t="s">
        <v>215</v>
      </c>
      <c r="E29" s="11" t="s">
        <v>53</v>
      </c>
      <c r="F29" s="11" t="s">
        <v>216</v>
      </c>
    </row>
    <row r="30" spans="1:6">
      <c r="A30" s="12"/>
      <c r="B30" s="12"/>
      <c r="C30" s="12"/>
      <c r="D30" s="12"/>
      <c r="E30" s="12"/>
      <c r="F30" s="12"/>
    </row>
    <row r="31" spans="1:6">
      <c r="A31" s="12"/>
      <c r="B31" s="12"/>
      <c r="C31" s="12"/>
      <c r="D31" s="12"/>
      <c r="E31" s="12"/>
      <c r="F31" s="12"/>
    </row>
    <row r="32" spans="1:6">
      <c r="A32" s="12"/>
      <c r="B32" s="12"/>
      <c r="C32" s="12"/>
      <c r="D32" s="12"/>
      <c r="E32" s="12"/>
      <c r="F32" s="12"/>
    </row>
    <row r="33" spans="1:6">
      <c r="A33" s="12"/>
      <c r="B33" s="12"/>
      <c r="C33" s="12"/>
      <c r="D33" s="12"/>
      <c r="E33" s="12"/>
      <c r="F33" s="12"/>
    </row>
    <row r="34" spans="1:6">
      <c r="A34" s="12"/>
      <c r="B34" s="12"/>
      <c r="C34" s="12"/>
      <c r="D34" s="12"/>
      <c r="E34" s="12"/>
      <c r="F34" s="12"/>
    </row>
    <row r="36" ht="17.6" spans="1:6">
      <c r="A36" s="13" t="s">
        <v>217</v>
      </c>
      <c r="B36" s="13"/>
      <c r="C36" s="13"/>
      <c r="D36" s="13"/>
      <c r="E36" s="13"/>
      <c r="F36" s="13"/>
    </row>
    <row r="37" ht="24.75" customHeight="1" spans="1:6">
      <c r="A37" t="s">
        <v>208</v>
      </c>
      <c r="B37" s="14"/>
      <c r="C37" s="14"/>
      <c r="D37" s="14"/>
      <c r="E37" s="14"/>
      <c r="F37" s="14"/>
    </row>
    <row r="38" ht="24.75" customHeight="1" spans="1:6">
      <c r="A38" t="s">
        <v>209</v>
      </c>
      <c r="B38" s="14"/>
      <c r="C38" s="14"/>
      <c r="D38" s="14"/>
      <c r="E38" s="14"/>
      <c r="F38" s="14"/>
    </row>
    <row r="39" ht="24.75" customHeight="1" spans="1:6">
      <c r="A39" t="s">
        <v>210</v>
      </c>
      <c r="B39" s="14"/>
      <c r="C39" s="14"/>
      <c r="D39" s="14"/>
      <c r="E39" s="14"/>
      <c r="F39" s="14"/>
    </row>
    <row r="41" ht="17.6" spans="1:6">
      <c r="A41" s="3" t="s">
        <v>218</v>
      </c>
      <c r="B41" s="3"/>
      <c r="C41" s="3"/>
      <c r="D41" s="3"/>
      <c r="E41" s="3"/>
      <c r="F41" s="3"/>
    </row>
    <row r="42" ht="30" customHeight="1" spans="1:6">
      <c r="A42" s="15" t="s">
        <v>219</v>
      </c>
      <c r="B42" s="5"/>
      <c r="C42" s="5"/>
      <c r="D42" s="5"/>
      <c r="E42" s="5"/>
      <c r="F42" s="5"/>
    </row>
    <row r="43" ht="30" customHeight="1" spans="1:6">
      <c r="A43" s="15" t="s">
        <v>220</v>
      </c>
      <c r="B43" s="5"/>
      <c r="C43" s="5"/>
      <c r="D43" s="5"/>
      <c r="E43" s="5"/>
      <c r="F43" s="5"/>
    </row>
    <row r="44" ht="30" customHeight="1" spans="1:6">
      <c r="A44" s="15" t="s">
        <v>221</v>
      </c>
      <c r="B44" s="5"/>
      <c r="C44" s="5"/>
      <c r="D44" s="5"/>
      <c r="E44" s="5"/>
      <c r="F44" s="5"/>
    </row>
    <row r="45" ht="30" customHeight="1" spans="1:6">
      <c r="A45" s="15" t="s">
        <v>222</v>
      </c>
      <c r="B45" s="5"/>
      <c r="C45" s="5"/>
      <c r="D45" s="5"/>
      <c r="E45" s="5"/>
      <c r="F45" s="5"/>
    </row>
    <row r="46" ht="30" customHeight="1" spans="1:6">
      <c r="A46" s="15" t="s">
        <v>223</v>
      </c>
      <c r="B46" s="5"/>
      <c r="C46" s="5"/>
      <c r="D46" s="5"/>
      <c r="E46" s="5"/>
      <c r="F46" s="5"/>
    </row>
    <row r="48" ht="18" spans="1:6">
      <c r="A48" s="16" t="s">
        <v>224</v>
      </c>
      <c r="B48" s="16"/>
      <c r="C48" s="16"/>
      <c r="D48" s="16"/>
      <c r="E48" s="16"/>
      <c r="F48" s="16"/>
    </row>
    <row r="49" ht="24.75" customHeight="1" spans="1:6">
      <c r="A49" s="15" t="s">
        <v>225</v>
      </c>
      <c r="B49" s="17"/>
      <c r="C49" s="17"/>
      <c r="D49" s="17"/>
      <c r="E49" s="17"/>
      <c r="F49" s="17"/>
    </row>
    <row r="50" ht="24.75" customHeight="1" spans="1:6">
      <c r="A50" s="15" t="s">
        <v>226</v>
      </c>
      <c r="B50" s="17"/>
      <c r="C50" s="17"/>
      <c r="D50" s="17"/>
      <c r="E50" s="17"/>
      <c r="F50" s="17"/>
    </row>
    <row r="51" ht="24.75" customHeight="1" spans="1:6">
      <c r="A51" s="15" t="s">
        <v>227</v>
      </c>
      <c r="B51" s="17"/>
      <c r="C51" s="17"/>
      <c r="D51" s="17"/>
      <c r="E51" s="17"/>
      <c r="F51" s="17"/>
    </row>
  </sheetData>
  <mergeCells count="24">
    <mergeCell ref="A1:F1"/>
    <mergeCell ref="A6:F6"/>
    <mergeCell ref="A7:F7"/>
    <mergeCell ref="A12:F12"/>
    <mergeCell ref="A23:F23"/>
    <mergeCell ref="B24:F24"/>
    <mergeCell ref="B25:F25"/>
    <mergeCell ref="B26:F26"/>
    <mergeCell ref="A28:F28"/>
    <mergeCell ref="A36:F36"/>
    <mergeCell ref="B37:F37"/>
    <mergeCell ref="B38:F38"/>
    <mergeCell ref="B39:F39"/>
    <mergeCell ref="A41:F41"/>
    <mergeCell ref="B42:F42"/>
    <mergeCell ref="B43:F43"/>
    <mergeCell ref="B44:F44"/>
    <mergeCell ref="B45:F45"/>
    <mergeCell ref="B46:F46"/>
    <mergeCell ref="A48:F48"/>
    <mergeCell ref="B49:F49"/>
    <mergeCell ref="B50:F50"/>
    <mergeCell ref="B51:F51"/>
    <mergeCell ref="A8:F1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总览Dashboard</vt:lpstr>
      <vt:lpstr>第1周-流量测试</vt:lpstr>
      <vt:lpstr>第2周-转化优化</vt:lpstr>
      <vt:lpstr>第3周-内容营销</vt:lpstr>
      <vt:lpstr>第4周-主动开发</vt:lpstr>
      <vt:lpstr>周复盘模板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yangxiaobo</cp:lastModifiedBy>
  <cp:revision>0</cp:revision>
  <dcterms:created xsi:type="dcterms:W3CDTF">2025-10-28T18:19:00Z</dcterms:created>
  <dcterms:modified xsi:type="dcterms:W3CDTF">2025-10-31T20:21:09Z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C6920BD90E56BC53B5A904695AB7D4DB_42</vt:lpwstr>
  </property>
  <property fmtid="{D5CDD505-2E9C-101B-9397-08002B2CF9AE}" pid="3" name="KSOProductBuildVer">
    <vt:lpwstr>2052-12.1.23143.23143</vt:lpwstr>
  </property>
</Properties>
</file>